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andy\Downloads\"/>
    </mc:Choice>
  </mc:AlternateContent>
  <xr:revisionPtr revIDLastSave="0" documentId="13_ncr:1_{1B6CCECA-7954-4315-B1CA-FA4AD51B4D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nitized" sheetId="1" r:id="rId1"/>
    <sheet name="Normalize.d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3" i="1"/>
  <c r="L4" i="1"/>
  <c r="L5" i="1"/>
  <c r="L6" i="1"/>
  <c r="L2" i="1"/>
</calcChain>
</file>

<file path=xl/sharedStrings.xml><?xml version="1.0" encoding="utf-8"?>
<sst xmlns="http://schemas.openxmlformats.org/spreadsheetml/2006/main" count="1418" uniqueCount="604">
  <si>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</si>
  <si>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</si>
  <si>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</si>
  <si>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</si>
  <si>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</si>
  <si>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</si>
  <si>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</si>
  <si>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payment_method</t>
  </si>
  <si>
    <t>PayMethodSanitized</t>
  </si>
  <si>
    <t>city</t>
  </si>
  <si>
    <t>CitySanitized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</si>
  <si>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</si>
  <si>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</si>
  <si>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</si>
  <si>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</si>
  <si>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</si>
  <si>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</si>
  <si>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</si>
  <si>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</si>
  <si>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</si>
  <si>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79500.00</t>
  </si>
  <si>
    <t>Credit card</t>
  </si>
  <si>
    <t>Credit Card</t>
  </si>
  <si>
    <t>boston</t>
  </si>
  <si>
    <t>Boston</t>
  </si>
  <si>
    <t>MA</t>
  </si>
  <si>
    <t>kevin</t>
  </si>
  <si>
    <t>delivered</t>
  </si>
  <si>
    <t>Delivered</t>
  </si>
  <si>
    <t>2024-03-14</t>
  </si>
  <si>
    <t>SOPHIA Miller</t>
  </si>
  <si>
    <t>911 Turbo S</t>
  </si>
  <si>
    <t>2024</t>
  </si>
  <si>
    <t>235000.00</t>
  </si>
  <si>
    <t>wire transfer</t>
  </si>
  <si>
    <t>Wire Transfer</t>
  </si>
  <si>
    <t>Seattle</t>
  </si>
  <si>
    <t>WA</t>
  </si>
  <si>
    <t>AMANDA scott</t>
  </si>
  <si>
    <t>DELIVERED</t>
  </si>
  <si>
    <t>2024-04-18</t>
  </si>
  <si>
    <t>Daniel-Jones</t>
  </si>
  <si>
    <t>Cayenne Coupe</t>
  </si>
  <si>
    <t>2023</t>
  </si>
  <si>
    <t>112750.00</t>
  </si>
  <si>
    <t>Financing plan</t>
  </si>
  <si>
    <t>Financing</t>
  </si>
  <si>
    <t>austin</t>
  </si>
  <si>
    <t>Austin</t>
  </si>
  <si>
    <t>TX</t>
  </si>
  <si>
    <t>Brian Hall</t>
  </si>
  <si>
    <t>in Transit</t>
  </si>
  <si>
    <t>In Transit</t>
  </si>
  <si>
    <t>Olivia Brown</t>
  </si>
  <si>
    <t>Macan S</t>
  </si>
  <si>
    <t>2021</t>
  </si>
  <si>
    <t>68900.00</t>
  </si>
  <si>
    <t>CASH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</si>
  <si>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</si>
  <si>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</si>
  <si>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</si>
  <si>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</si>
  <si>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</si>
  <si>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</si>
  <si>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</si>
  <si>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</si>
  <si>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121000.00</t>
  </si>
  <si>
    <t>bank-transfer</t>
  </si>
  <si>
    <t>Bank Transfer</t>
  </si>
  <si>
    <t>los angeles</t>
  </si>
  <si>
    <t>Los Angeles</t>
  </si>
  <si>
    <t>CA</t>
  </si>
  <si>
    <t>Thomas King</t>
  </si>
  <si>
    <t>delivered!!!</t>
  </si>
  <si>
    <t>2024-08-06</t>
  </si>
  <si>
    <t>Ava Martinez</t>
  </si>
  <si>
    <t>Panamera 4</t>
  </si>
  <si>
    <t>104500.00</t>
  </si>
  <si>
    <t>Miami</t>
  </si>
  <si>
    <t>FL</t>
  </si>
  <si>
    <t>LISA ray</t>
  </si>
  <si>
    <t>cancelled</t>
  </si>
  <si>
    <t>Cancelled</t>
  </si>
  <si>
    <t>2024-07-11</t>
  </si>
  <si>
    <t>Noah Davis</t>
  </si>
  <si>
    <t>911 Carrera S</t>
  </si>
  <si>
    <t>2020</t>
  </si>
  <si>
    <t>96300.00</t>
  </si>
  <si>
    <t>lease</t>
  </si>
  <si>
    <t>Lease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</si>
  <si>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</si>
  <si>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</si>
  <si>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</si>
  <si>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</si>
  <si>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</si>
  <si>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</si>
  <si>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</si>
  <si>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89750.00</t>
  </si>
  <si>
    <t>bank wire</t>
  </si>
  <si>
    <t>San Diego</t>
  </si>
  <si>
    <t>nancy reed</t>
  </si>
  <si>
    <t>pending approval</t>
  </si>
  <si>
    <t>Pending Approval</t>
  </si>
  <si>
    <t>2024-08-19</t>
  </si>
  <si>
    <t>Liam Rodriguez</t>
  </si>
  <si>
    <t>718 Boxster</t>
  </si>
  <si>
    <t>73500.00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</si>
  <si>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</si>
  <si>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</si>
  <si>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</si>
  <si>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</si>
  <si>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</si>
  <si>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</si>
  <si>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</si>
  <si>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</si>
  <si>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</si>
  <si>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</si>
  <si>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</si>
  <si>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95000.00</t>
  </si>
  <si>
    <t>phoenix</t>
  </si>
  <si>
    <t>Phoenix</t>
  </si>
  <si>
    <t>AZ</t>
  </si>
  <si>
    <t>Helen Brooks</t>
  </si>
  <si>
    <t>IN TRANSIT</t>
  </si>
  <si>
    <t>2024-09-17</t>
  </si>
  <si>
    <t>James Lopez</t>
  </si>
  <si>
    <t>Taycan Turbo</t>
  </si>
  <si>
    <t>153200.50</t>
  </si>
  <si>
    <t>ACH payment</t>
  </si>
  <si>
    <t>ACH Payment</t>
  </si>
  <si>
    <t>dallas</t>
  </si>
  <si>
    <t>Dallas</t>
  </si>
  <si>
    <t>samuel price</t>
  </si>
  <si>
    <t>Charlotte Young</t>
  </si>
  <si>
    <t>911 GT3</t>
  </si>
  <si>
    <t>241000.00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</si>
  <si>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</si>
  <si>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</si>
  <si>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</si>
  <si>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</si>
  <si>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</si>
  <si>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</si>
  <si>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</si>
  <si>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</si>
  <si>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132000.00</t>
  </si>
  <si>
    <t>cash</t>
  </si>
  <si>
    <t>san jose</t>
  </si>
  <si>
    <t>San Jose</t>
  </si>
  <si>
    <t>Angela Green</t>
  </si>
  <si>
    <t>delivered.</t>
  </si>
  <si>
    <t>2024-12-12</t>
  </si>
  <si>
    <t>Amelia King</t>
  </si>
  <si>
    <t>Cayenne Turbo GT</t>
  </si>
  <si>
    <t>188000.00</t>
  </si>
  <si>
    <t>crypto payment</t>
  </si>
  <si>
    <t>Crypto Payment</t>
  </si>
  <si>
    <t>Houston</t>
  </si>
  <si>
    <t>Victor Stone</t>
  </si>
  <si>
    <t>awaiting delivery</t>
  </si>
  <si>
    <t>Awaiting Delivery</t>
  </si>
  <si>
    <t>2024-12-25</t>
  </si>
  <si>
    <t>Lucas Wright</t>
  </si>
  <si>
    <t>911 Carrera Cabriolet</t>
  </si>
  <si>
    <t>127800.00</t>
  </si>
  <si>
    <t>CreditCard</t>
  </si>
  <si>
    <t>atlanta</t>
  </si>
  <si>
    <t>Atlanta</t>
  </si>
  <si>
    <t>GA</t>
  </si>
  <si>
    <t>rachel turner</t>
  </si>
  <si>
    <t>2025-01-06</t>
  </si>
  <si>
    <t>Harper Scott</t>
  </si>
  <si>
    <t>Macan</t>
  </si>
  <si>
    <t>58900.00</t>
  </si>
  <si>
    <t>Orlando</t>
  </si>
  <si>
    <t>Chris Moore</t>
  </si>
  <si>
    <t>Henry Torres</t>
  </si>
  <si>
    <t>718 Spyder RS</t>
  </si>
  <si>
    <t>164000.00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</si>
  <si>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</si>
  <si>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</si>
  <si>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</si>
  <si>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</si>
  <si>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</si>
  <si>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</si>
  <si>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</si>
  <si>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</si>
  <si>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</si>
  <si>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118500.00</t>
  </si>
  <si>
    <t>wire</t>
  </si>
  <si>
    <t>Charlotte</t>
  </si>
  <si>
    <t>NC</t>
  </si>
  <si>
    <t>Martin Young</t>
  </si>
  <si>
    <t>Alexander Flores</t>
  </si>
  <si>
    <t>Cayenne S</t>
  </si>
  <si>
    <t>91300.00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</si>
  <si>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</si>
  <si>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</si>
  <si>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</si>
  <si>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</si>
  <si>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</si>
  <si>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</si>
  <si>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</si>
  <si>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</si>
  <si>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</si>
  <si>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158750.00</t>
  </si>
  <si>
    <t>Leasing</t>
  </si>
  <si>
    <t>minneapolis</t>
  </si>
  <si>
    <t>Minneapolis</t>
  </si>
  <si>
    <t>MN</t>
  </si>
  <si>
    <t>Steve Gray</t>
  </si>
  <si>
    <t>2025-03-28</t>
  </si>
  <si>
    <t>Jack Mitchell</t>
  </si>
  <si>
    <t>Panamera</t>
  </si>
  <si>
    <t>72000.00</t>
  </si>
  <si>
    <t>bank_transfer</t>
  </si>
  <si>
    <t>Philadelphia</t>
  </si>
  <si>
    <t>PA</t>
  </si>
  <si>
    <t>Olivia Ross</t>
  </si>
  <si>
    <t>CANCELLED</t>
  </si>
  <si>
    <t>2025-04-09</t>
  </si>
  <si>
    <t>Emily Perez</t>
  </si>
  <si>
    <t>Macan Electric</t>
  </si>
  <si>
    <t>2025</t>
  </si>
  <si>
    <t>86500.00</t>
  </si>
  <si>
    <t>san antonio</t>
  </si>
  <si>
    <t>San Antonio</t>
  </si>
  <si>
    <t>Patrick Wood</t>
  </si>
  <si>
    <t>William Roberts</t>
  </si>
  <si>
    <t>911 Dakar</t>
  </si>
  <si>
    <t>270000.00</t>
  </si>
  <si>
    <t>cash payment</t>
  </si>
  <si>
    <t>Salt Lake City</t>
  </si>
  <si>
    <t>UT</t>
  </si>
  <si>
    <t>Karen Diaz</t>
  </si>
  <si>
    <t>awaiting pickup</t>
  </si>
  <si>
    <t>Awaiting Pickup</t>
  </si>
  <si>
    <t>2025-05-12</t>
  </si>
  <si>
    <t>Sofia Turner</t>
  </si>
  <si>
    <t>Taycan GTS</t>
  </si>
  <si>
    <t>139000.00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</si>
  <si>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</si>
  <si>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</si>
  <si>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</si>
  <si>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</si>
  <si>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</si>
  <si>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</si>
  <si>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</si>
  <si>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76800.00</t>
  </si>
  <si>
    <t>credit</t>
  </si>
  <si>
    <t>Detroit</t>
  </si>
  <si>
    <t>MI</t>
  </si>
  <si>
    <t>Betty Ward</t>
  </si>
  <si>
    <t>Ella Campbell</t>
  </si>
  <si>
    <t>718 Cayman GT4 RS</t>
  </si>
  <si>
    <t>173600.00</t>
  </si>
  <si>
    <t>wire-transfer</t>
  </si>
  <si>
    <t>Columbus</t>
  </si>
  <si>
    <t>OH</t>
  </si>
  <si>
    <t>Gary Reed</t>
  </si>
  <si>
    <t>2025-07-07</t>
  </si>
  <si>
    <t>Logan Parker</t>
  </si>
  <si>
    <t>911 Carrera GTS</t>
  </si>
  <si>
    <t>119900.00</t>
  </si>
  <si>
    <t>CASH payment</t>
  </si>
  <si>
    <t>indianapolis</t>
  </si>
  <si>
    <t>Indianapolis</t>
  </si>
  <si>
    <t>IN</t>
  </si>
  <si>
    <t>maria foster</t>
  </si>
  <si>
    <t>2025-07-22</t>
  </si>
  <si>
    <t>Grace Evans</t>
  </si>
  <si>
    <t>Panamera 4 E-Hybrid</t>
  </si>
  <si>
    <t>109250.00</t>
  </si>
  <si>
    <t>lease plan</t>
  </si>
  <si>
    <t>Fort Worth</t>
  </si>
  <si>
    <t>Harold Bennett</t>
  </si>
  <si>
    <t>2025-08-14</t>
  </si>
  <si>
    <t>Jacob Edwards</t>
  </si>
  <si>
    <t>Macan T</t>
  </si>
  <si>
    <t>82000.00</t>
  </si>
  <si>
    <t>Bank wire</t>
  </si>
  <si>
    <t>Jacksonville</t>
  </si>
  <si>
    <t>Teresa Cook</t>
  </si>
  <si>
    <t>2025-09-01</t>
  </si>
  <si>
    <t>Victoria Collins</t>
  </si>
  <si>
    <t>Taycan Turbo S</t>
  </si>
  <si>
    <t>214000.00</t>
  </si>
  <si>
    <t>Crypto</t>
  </si>
  <si>
    <t>san diego</t>
  </si>
  <si>
    <t>Frank Morgan</t>
  </si>
  <si>
    <t>pending review</t>
  </si>
  <si>
    <t>Pending Review</t>
  </si>
  <si>
    <t>Andrew Simmons</t>
  </si>
  <si>
    <t>911 Carrera</t>
  </si>
  <si>
    <t>124500.00</t>
  </si>
  <si>
    <t>tampa</t>
  </si>
  <si>
    <t>Tampa</t>
  </si>
  <si>
    <t>natalie</t>
  </si>
  <si>
    <t>2025-09-18</t>
  </si>
  <si>
    <t>Chloe Bennett</t>
  </si>
  <si>
    <t>98200.00</t>
  </si>
  <si>
    <t>bank transfer</t>
  </si>
  <si>
    <t>Sacramento</t>
  </si>
  <si>
    <t>ERIC woods</t>
  </si>
  <si>
    <t>2025-10-04</t>
  </si>
  <si>
    <t>Ryan-Cooper</t>
  </si>
  <si>
    <t>67500.00</t>
  </si>
  <si>
    <t>cleveland</t>
  </si>
  <si>
    <t>Cleveland</t>
  </si>
  <si>
    <t>Patricia Fox</t>
  </si>
  <si>
    <t>2025-10-12</t>
  </si>
  <si>
    <t>Hannah Reed</t>
  </si>
  <si>
    <t>Taycan</t>
  </si>
  <si>
    <t>116900.00</t>
  </si>
  <si>
    <t>Milwaukee</t>
  </si>
  <si>
    <t>WI</t>
  </si>
  <si>
    <t>alan price</t>
  </si>
  <si>
    <t>2025-10-29</t>
  </si>
  <si>
    <t>Dylan Parker</t>
  </si>
  <si>
    <t>Panamera 4S</t>
  </si>
  <si>
    <t>112000.00</t>
  </si>
  <si>
    <t>Kansas City</t>
  </si>
  <si>
    <t>MO</t>
  </si>
  <si>
    <t>Sandra Hill</t>
  </si>
  <si>
    <t>2025-02-11</t>
  </si>
  <si>
    <t>Lily Coleman</t>
  </si>
  <si>
    <t>74000.00</t>
  </si>
  <si>
    <t>omaha</t>
  </si>
  <si>
    <t>Omaha</t>
  </si>
  <si>
    <t>NE</t>
  </si>
  <si>
    <t>Victor Lee</t>
  </si>
  <si>
    <t>2025-11-16</t>
  </si>
  <si>
    <t>Nathan Hughes</t>
  </si>
  <si>
    <t>911 Turbo</t>
  </si>
  <si>
    <t>198300.00</t>
  </si>
  <si>
    <t>Albuquerque</t>
  </si>
  <si>
    <t>NM</t>
  </si>
  <si>
    <t>monica</t>
  </si>
  <si>
    <t>Zoe Foster</t>
  </si>
  <si>
    <t>103750.00</t>
  </si>
  <si>
    <t>Tucson</t>
  </si>
  <si>
    <t>Gregory Adams</t>
  </si>
  <si>
    <t>Caleb Ward</t>
  </si>
  <si>
    <t>93600.00</t>
  </si>
  <si>
    <t>fresno</t>
  </si>
  <si>
    <t>Fresno</t>
  </si>
  <si>
    <t>Laura West</t>
  </si>
  <si>
    <t>2025-12-07</t>
  </si>
  <si>
    <t>Stella Brooks</t>
  </si>
  <si>
    <t>129000.00</t>
  </si>
  <si>
    <t>Virginia Beach</t>
  </si>
  <si>
    <t>VA</t>
  </si>
  <si>
    <t>Henry King</t>
  </si>
  <si>
    <t>2025-12-22</t>
  </si>
  <si>
    <t>Owen Bryant</t>
  </si>
  <si>
    <t>Panamera Turbo</t>
  </si>
  <si>
    <t>136000.00</t>
  </si>
  <si>
    <t>colorado springs</t>
  </si>
  <si>
    <t>Colorado Springs</t>
  </si>
  <si>
    <t>amber clark</t>
  </si>
  <si>
    <t>Nora Simmons</t>
  </si>
  <si>
    <t>911 GT3 RS</t>
  </si>
  <si>
    <t>286500.00</t>
  </si>
  <si>
    <t>Arlington</t>
  </si>
  <si>
    <t>PETER Lane</t>
  </si>
  <si>
    <t>2026-01-08</t>
  </si>
  <si>
    <t>Isaac Butler</t>
  </si>
  <si>
    <t>92800.00</t>
  </si>
  <si>
    <t>Bakersfield</t>
  </si>
  <si>
    <t>Grace Morris</t>
  </si>
  <si>
    <t>2026-01-15</t>
  </si>
  <si>
    <t>Leah Henderson</t>
  </si>
  <si>
    <t>72400.00</t>
  </si>
  <si>
    <t>Mesa</t>
  </si>
  <si>
    <t>Kyle Perry</t>
  </si>
  <si>
    <t>2026-01-28</t>
  </si>
  <si>
    <t>Christian Bailey</t>
  </si>
  <si>
    <t>158500.00</t>
  </si>
  <si>
    <t>megan reed</t>
  </si>
  <si>
    <t>2026-02-03</t>
  </si>
  <si>
    <t>Audrey Russell</t>
  </si>
  <si>
    <t>69900.00</t>
  </si>
  <si>
    <t>long beach</t>
  </si>
  <si>
    <t>Long Beach</t>
  </si>
  <si>
    <t>Carl Simmons</t>
  </si>
  <si>
    <t>Hunter Griffin</t>
  </si>
  <si>
    <t>911 Targa 4</t>
  </si>
  <si>
    <t>141250.00</t>
  </si>
  <si>
    <t>Oakland</t>
  </si>
  <si>
    <t>LINDA cole</t>
  </si>
  <si>
    <t>2026-02-19</t>
  </si>
  <si>
    <t>Scarlett Diaz</t>
  </si>
  <si>
    <t>71500.00</t>
  </si>
  <si>
    <t>Tulsa</t>
  </si>
  <si>
    <t>OK</t>
  </si>
  <si>
    <t>Martin Brooks</t>
  </si>
  <si>
    <t>2026-02-25</t>
  </si>
  <si>
    <t>Eli Jenkins</t>
  </si>
  <si>
    <t>Cayenne Turbo</t>
  </si>
  <si>
    <t>146800.00</t>
  </si>
  <si>
    <t>Wichita</t>
  </si>
  <si>
    <t>KS</t>
  </si>
  <si>
    <t>Diana Long</t>
  </si>
  <si>
    <t>2026-03-01</t>
  </si>
  <si>
    <t>Madison Powell</t>
  </si>
  <si>
    <t>89700.00</t>
  </si>
  <si>
    <t>new orleans</t>
  </si>
  <si>
    <t>New Orleans</t>
  </si>
  <si>
    <t>LA</t>
  </si>
  <si>
    <t>Steve Ross</t>
  </si>
  <si>
    <t>2026-03-14</t>
  </si>
  <si>
    <t>Adrian Sanders</t>
  </si>
  <si>
    <t>104600.00</t>
  </si>
  <si>
    <t>Honolulu</t>
  </si>
  <si>
    <t>HI</t>
  </si>
  <si>
    <t>Olivia Cruz</t>
  </si>
  <si>
    <t>Penelope Barnes</t>
  </si>
  <si>
    <t>142000.00</t>
  </si>
  <si>
    <t>Anaheim</t>
  </si>
  <si>
    <t>2026-04-08</t>
  </si>
  <si>
    <t>Nolan Fisher</t>
  </si>
  <si>
    <t>78400.00</t>
  </si>
  <si>
    <t>Henderson</t>
  </si>
  <si>
    <t>Karen Stone</t>
  </si>
  <si>
    <t>awaiting review</t>
  </si>
  <si>
    <t>Awaiting Review</t>
  </si>
  <si>
    <t>Layla Marshall</t>
  </si>
  <si>
    <t>169000.00</t>
  </si>
  <si>
    <t>Lexington</t>
  </si>
  <si>
    <t>KY</t>
  </si>
  <si>
    <t>justin fox</t>
  </si>
  <si>
    <t>2026-04-21</t>
  </si>
  <si>
    <t>Gabriel Owens</t>
  </si>
  <si>
    <t>268900.00</t>
  </si>
  <si>
    <t>Riverside</t>
  </si>
  <si>
    <t>Betty James</t>
  </si>
  <si>
    <t>2026-04-29</t>
  </si>
  <si>
    <t>Victoria Hart</t>
  </si>
  <si>
    <t>101300.00</t>
  </si>
  <si>
    <t>Corpus Christi</t>
  </si>
  <si>
    <t>Gary Price</t>
  </si>
  <si>
    <t>2026-05-05</t>
  </si>
  <si>
    <t>Julian Stone</t>
  </si>
  <si>
    <t>66750.00</t>
  </si>
  <si>
    <t>St. Louis</t>
  </si>
  <si>
    <t>maria green</t>
  </si>
  <si>
    <t>2026-05-14</t>
  </si>
  <si>
    <t>Brooklyn Webb</t>
  </si>
  <si>
    <t>127900.00</t>
  </si>
  <si>
    <t>Pittsburgh</t>
  </si>
  <si>
    <t>Harold Young</t>
  </si>
  <si>
    <t>2026-05-23</t>
  </si>
  <si>
    <t>Aaron Kim</t>
  </si>
  <si>
    <t>200000.00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</si>
  <si>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</si>
  <si>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</si>
  <si>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</si>
  <si>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</si>
  <si>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</si>
  <si>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</si>
  <si>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</si>
  <si>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</si>
  <si>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</si>
  <si>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176400.00</t>
  </si>
  <si>
    <t>Plano</t>
  </si>
  <si>
    <t>Angela Moore</t>
  </si>
  <si>
    <t>Bella Ramirez</t>
  </si>
  <si>
    <t>108500.00</t>
  </si>
  <si>
    <t>Newark</t>
  </si>
  <si>
    <t>NJ</t>
  </si>
  <si>
    <t>rachel west</t>
  </si>
  <si>
    <t>2026-07-07</t>
  </si>
  <si>
    <t>Miles Peterson</t>
  </si>
  <si>
    <t>59000.00</t>
  </si>
  <si>
    <t>Greensboro</t>
  </si>
  <si>
    <t>Thomas Fox</t>
  </si>
  <si>
    <t>2026-07-20</t>
  </si>
  <si>
    <t>Skylar Rogers</t>
  </si>
  <si>
    <t>218000.00</t>
  </si>
  <si>
    <t>Lincoln</t>
  </si>
  <si>
    <t>LISA Dunn</t>
  </si>
  <si>
    <t>Dominic Kelly</t>
  </si>
  <si>
    <t>99950.00</t>
  </si>
  <si>
    <t>Jersey City</t>
  </si>
  <si>
    <t>Brian Allen</t>
  </si>
  <si>
    <t>Lucy Howard</t>
  </si>
  <si>
    <t>121750.00</t>
  </si>
  <si>
    <t>chandler</t>
  </si>
  <si>
    <t>Chandler</t>
  </si>
  <si>
    <t>George Hall</t>
  </si>
  <si>
    <t>2026-08-18</t>
  </si>
  <si>
    <t>Everett Cox</t>
  </si>
  <si>
    <t>718 Boxster GTS</t>
  </si>
  <si>
    <t>91500.00</t>
  </si>
  <si>
    <t>Reno</t>
  </si>
  <si>
    <t>Helen King</t>
  </si>
  <si>
    <t>2026-08-31</t>
  </si>
  <si>
    <t>Maya Rivera</t>
  </si>
  <si>
    <t>134000.00</t>
  </si>
  <si>
    <t>Buffalo</t>
  </si>
  <si>
    <t>2026-09-09</t>
  </si>
  <si>
    <t>Connor Ward</t>
  </si>
  <si>
    <t>96800.00</t>
  </si>
  <si>
    <t>Durham</t>
  </si>
  <si>
    <t>Peter Ford</t>
  </si>
  <si>
    <t>2026-09-17</t>
  </si>
  <si>
    <t>Eliana Bell</t>
  </si>
  <si>
    <t>131600.00</t>
  </si>
  <si>
    <t>Laredo</t>
  </si>
  <si>
    <t>2026-09-28</t>
  </si>
  <si>
    <t>Cameron Murphy</t>
  </si>
  <si>
    <t>94300.00</t>
  </si>
  <si>
    <t>Madison</t>
  </si>
  <si>
    <t>2026-10-06</t>
  </si>
  <si>
    <t>Ariana Cook</t>
  </si>
  <si>
    <t>242000.00</t>
  </si>
  <si>
    <t>crypto</t>
  </si>
  <si>
    <t>Lubbock</t>
  </si>
  <si>
    <t>Rachel Turner</t>
  </si>
  <si>
    <t>2026-10-16</t>
  </si>
  <si>
    <t>Wesley Morgan</t>
  </si>
  <si>
    <t>718 Cayman S</t>
  </si>
  <si>
    <t>82750.00</t>
  </si>
  <si>
    <t>Toledo</t>
  </si>
  <si>
    <t>2026-10-29</t>
  </si>
  <si>
    <t>Naomi Peterson</t>
  </si>
  <si>
    <t>2026</t>
  </si>
  <si>
    <t>Irvine</t>
  </si>
  <si>
    <t>2026-11-03</t>
  </si>
  <si>
    <t>Jason Perry</t>
  </si>
  <si>
    <t>79900.00</t>
  </si>
  <si>
    <t>Garland</t>
  </si>
  <si>
    <t>Riley Flores</t>
  </si>
  <si>
    <t>111000.00</t>
  </si>
  <si>
    <t>Irving</t>
  </si>
  <si>
    <t>2026-12-11</t>
  </si>
  <si>
    <t>Hazel Long</t>
  </si>
  <si>
    <t>156500.00</t>
  </si>
  <si>
    <t>Chesapeake</t>
  </si>
  <si>
    <t>2026-12-24</t>
  </si>
  <si>
    <t>Easton Bailey</t>
  </si>
  <si>
    <t>Scottsdale</t>
  </si>
  <si>
    <t>Aurora Cooper</t>
  </si>
  <si>
    <t>73200.00</t>
  </si>
  <si>
    <t>Norfolk</t>
  </si>
  <si>
    <t>2026-12-28</t>
  </si>
  <si>
    <t>Colton Richardson</t>
  </si>
  <si>
    <t>224000.00</t>
  </si>
  <si>
    <t>Boise</t>
  </si>
  <si>
    <t>ID</t>
  </si>
  <si>
    <t>2027-01-15</t>
  </si>
  <si>
    <t>Mason Stewart</t>
  </si>
  <si>
    <t>126900.00</t>
  </si>
  <si>
    <t>orlando</t>
  </si>
  <si>
    <t>kevin brown</t>
  </si>
  <si>
    <t>2027-01-29</t>
  </si>
  <si>
    <t>Harper Reed</t>
  </si>
  <si>
    <t>84500.00</t>
  </si>
  <si>
    <t>AMANDA Lee</t>
  </si>
  <si>
    <t>2027-02-11</t>
  </si>
  <si>
    <t>Tyler-Morris</t>
  </si>
  <si>
    <t>69800.00</t>
  </si>
  <si>
    <t>Natalie Brooks</t>
  </si>
  <si>
    <t>132700.00</t>
  </si>
  <si>
    <t>jessica white</t>
  </si>
  <si>
    <t>2027-03-05</t>
  </si>
  <si>
    <t>Brandon Parker</t>
  </si>
  <si>
    <t>81000.00</t>
  </si>
  <si>
    <t>2027-03-18</t>
  </si>
  <si>
    <t>Lauren Foster</t>
  </si>
  <si>
    <t>78900.00</t>
  </si>
  <si>
    <t>seattle</t>
  </si>
  <si>
    <t>2027-04-02</t>
  </si>
  <si>
    <t>Adam Hughes</t>
  </si>
  <si>
    <t>249300.00</t>
  </si>
  <si>
    <t>monica green</t>
  </si>
  <si>
    <t>Julia Coleman</t>
  </si>
  <si>
    <t>108750.00</t>
  </si>
  <si>
    <t>Caleb Simmons</t>
  </si>
  <si>
    <t>92600.00</t>
  </si>
  <si>
    <t>2027-05-12</t>
  </si>
  <si>
    <t>Ariana Price</t>
  </si>
  <si>
    <t>2027-05-27</t>
  </si>
  <si>
    <t>Owen Rivera</t>
  </si>
  <si>
    <t>119000.00</t>
  </si>
  <si>
    <t>san francisco</t>
  </si>
  <si>
    <t>San Francisco</t>
  </si>
  <si>
    <t>Nora Bennett</t>
  </si>
  <si>
    <t>232500.00</t>
  </si>
  <si>
    <t>2027-06-18</t>
  </si>
  <si>
    <t>Isaac Turner</t>
  </si>
  <si>
    <t>2027-07-03</t>
  </si>
  <si>
    <t>Leah Scott</t>
  </si>
  <si>
    <t>74400.00</t>
  </si>
  <si>
    <t>2027-07-22</t>
  </si>
  <si>
    <t>148500.00</t>
  </si>
  <si>
    <t>2027-08-08</t>
  </si>
  <si>
    <t>71900.00</t>
  </si>
  <si>
    <t>143250.00</t>
  </si>
  <si>
    <t>2027-09-19</t>
  </si>
  <si>
    <t>137500.00</t>
  </si>
  <si>
    <t>2027-09-25</t>
  </si>
  <si>
    <t>204800.00</t>
  </si>
  <si>
    <t>2027-10-01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</si>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</sst>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2" fontId="1" fillId="3" borderId="0" xfId="0" applyNumberFormat="1" applyFont="1" applyFill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I27" sqref="I27"/>
    </sheetView>
  </sheetViews>
  <sheetFormatPr defaultRowHeight="15" x14ac:dyDescent="0.25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style="4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8</v>
      </c>
      <c r="I1" s="2" t="s">
        <v>10</v>
      </c>
      <c r="J1" s="2" t="s">
        <v>11</v>
      </c>
      <c r="K1" s="1" t="s">
        <v>12</v>
      </c>
      <c r="L1" s="2" t="s">
        <v>14</v>
      </c>
    </row>
    <row r="2" spans="1:12" x14ac:dyDescent="0.25">
      <c r="A2">
        <v>6</v>
      </c>
      <c r="B2" t="s">
        <v>15</v>
      </c>
      <c r="C2" t="s">
        <v>17</v>
      </c>
      <c r="D2" t="s">
        <v>18</v>
      </c>
      <c r="E2" t="s">
        <v>19</v>
      </c>
      <c r="F2" t="s">
        <v>20</v>
      </c>
      <c r="G2" s="5">
        <v>9800</v>
      </c>
      <c r="H2" t="s">
        <v>22</v>
      </c>
      <c r="I2" t="e">
        <f>VLOOKUP(#REF!,Normalize.db!H:I,2,FALSE)</f>
        <v>#REF!</v>
      </c>
      <c r="J2" t="s">
        <v>25</v>
      </c>
      <c r="K2" t="s">
        <v>26</v>
      </c>
      <c r="L2" t="e">
        <f>VLOOKUP(#REF!,Normalize.db!B:C,2,FALSE)</f>
        <v>#REF!</v>
      </c>
    </row>
    <row r="3" spans="1:12" x14ac:dyDescent="0.25">
      <c r="A3">
        <v>7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s="5">
        <v>1200</v>
      </c>
      <c r="H3" t="s">
        <v>35</v>
      </c>
      <c r="I3" t="e">
        <f>VLOOKUP(#REF!,Normalize.db!H:I,2,FALSE)</f>
        <v>#REF!</v>
      </c>
      <c r="J3" t="s">
        <v>37</v>
      </c>
      <c r="K3" t="s">
        <v>38</v>
      </c>
      <c r="L3" t="e">
        <f>VLOOKUP(#REF!,Normalize.db!B:C,2,FALSE)</f>
        <v>#REF!</v>
      </c>
    </row>
    <row r="4" spans="1:12" x14ac:dyDescent="0.25">
      <c r="A4">
        <v>8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s="5">
        <v>6400</v>
      </c>
      <c r="H4" t="s">
        <v>46</v>
      </c>
      <c r="I4" t="e">
        <f>VLOOKUP(#REF!,Normalize.db!H:I,2,FALSE)</f>
        <v>#REF!</v>
      </c>
      <c r="J4" t="s">
        <v>49</v>
      </c>
      <c r="K4" t="s">
        <v>50</v>
      </c>
      <c r="L4" t="e">
        <f>VLOOKUP(#REF!,Normalize.db!B:C,2,FALSE)</f>
        <v>#REF!</v>
      </c>
    </row>
    <row r="5" spans="1:12" x14ac:dyDescent="0.25">
      <c r="A5">
        <v>9</v>
      </c>
      <c r="B5" t="s">
        <v>16</v>
      </c>
      <c r="C5" t="s">
        <v>53</v>
      </c>
      <c r="D5" t="s">
        <v>54</v>
      </c>
      <c r="E5" t="s">
        <v>55</v>
      </c>
      <c r="F5" t="s">
        <v>56</v>
      </c>
      <c r="G5" s="5">
        <v>28</v>
      </c>
      <c r="H5" t="s">
        <v>58</v>
      </c>
      <c r="I5" t="e">
        <f>VLOOKUP(#REF!,Normalize.db!H:I,2,FALSE)</f>
        <v>#REF!</v>
      </c>
      <c r="J5" t="s">
        <v>60</v>
      </c>
      <c r="K5" t="s">
        <v>61</v>
      </c>
      <c r="L5" t="e">
        <f>VLOOKUP(#REF!,Normalize.db!B:C,2,FALSE)</f>
        <v>#REF!</v>
      </c>
    </row>
    <row r="6" spans="1:12" x14ac:dyDescent="0.25">
      <c r="A6">
        <v>10</v>
      </c>
      <c r="B6" t="s">
        <v>63</v>
      </c>
      <c r="C6" t="s">
        <v>64</v>
      </c>
      <c r="D6" t="s">
        <v>65</v>
      </c>
      <c r="E6" t="s">
        <v>32</v>
      </c>
      <c r="F6" t="s">
        <v>66</v>
      </c>
      <c r="G6" s="5">
        <v>0</v>
      </c>
      <c r="H6" t="s">
        <v>68</v>
      </c>
      <c r="I6" t="e">
        <f>VLOOKUP(#REF!,Normalize.db!H:I,2,FALSE)</f>
        <v>#REF!</v>
      </c>
      <c r="J6" t="s">
        <v>71</v>
      </c>
      <c r="K6" t="s">
        <v>72</v>
      </c>
      <c r="L6" t="e">
        <f>VLOOKUP(#REF!,Normalize.db!B:C,2,FALSE)</f>
        <v>#REF!</v>
      </c>
    </row>
    <row r="7" spans="1:12" x14ac:dyDescent="0.25">
      <c r="A7">
        <v>11</v>
      </c>
      <c r="B7" t="s">
        <v>74</v>
      </c>
      <c r="C7" t="s">
        <v>75</v>
      </c>
      <c r="D7" t="s">
        <v>76</v>
      </c>
      <c r="E7" t="s">
        <v>43</v>
      </c>
      <c r="F7" t="s">
        <v>77</v>
      </c>
      <c r="G7" s="5">
        <v>14500</v>
      </c>
      <c r="H7" t="s">
        <v>22</v>
      </c>
      <c r="I7" t="e">
        <f>VLOOKUP(#REF!,Normalize.db!H:I,2,FALSE)</f>
        <v>#REF!</v>
      </c>
      <c r="J7" t="s">
        <v>79</v>
      </c>
      <c r="K7" t="s">
        <v>80</v>
      </c>
      <c r="L7" t="e">
        <f>VLOOKUP(#REF!,Normalize.db!B:C,2,FALSE)</f>
        <v>#REF!</v>
      </c>
    </row>
    <row r="8" spans="1:12" x14ac:dyDescent="0.25">
      <c r="A8">
        <v>12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s="5">
        <v>41000</v>
      </c>
      <c r="H8" t="s">
        <v>89</v>
      </c>
      <c r="I8" t="e">
        <f>VLOOKUP(#REF!,Normalize.db!H:I,2,FALSE)</f>
        <v>#REF!</v>
      </c>
      <c r="J8" t="s">
        <v>92</v>
      </c>
      <c r="K8" t="s">
        <v>93</v>
      </c>
      <c r="L8" t="e">
        <f>VLOOKUP(#REF!,Normalize.db!B:C,2,FALSE)</f>
        <v>#REF!</v>
      </c>
    </row>
    <row r="9" spans="1:12" x14ac:dyDescent="0.25">
      <c r="A9">
        <v>13</v>
      </c>
      <c r="B9" t="s">
        <v>16</v>
      </c>
      <c r="C9" t="s">
        <v>95</v>
      </c>
      <c r="D9" t="s">
        <v>96</v>
      </c>
      <c r="E9" t="s">
        <v>19</v>
      </c>
      <c r="F9" t="s">
        <v>97</v>
      </c>
      <c r="G9" s="5">
        <v>11744</v>
      </c>
      <c r="H9" t="s">
        <v>35</v>
      </c>
      <c r="I9" t="e">
        <f>VLOOKUP(#REF!,Normalize.db!H:I,2,FALSE)</f>
        <v>#REF!</v>
      </c>
      <c r="J9" t="s">
        <v>71</v>
      </c>
      <c r="K9" t="s">
        <v>100</v>
      </c>
      <c r="L9" t="e">
        <f>VLOOKUP(#REF!,Normalize.db!B:C,2,FALSE)</f>
        <v>#REF!</v>
      </c>
    </row>
    <row r="10" spans="1:12" x14ac:dyDescent="0.25">
      <c r="A10">
        <v>14</v>
      </c>
      <c r="B10" t="s">
        <v>103</v>
      </c>
      <c r="C10" t="s">
        <v>104</v>
      </c>
      <c r="D10" t="s">
        <v>105</v>
      </c>
      <c r="E10" t="s">
        <v>55</v>
      </c>
      <c r="F10" t="s">
        <v>106</v>
      </c>
      <c r="G10" s="5">
        <v>22300</v>
      </c>
      <c r="H10" t="s">
        <v>108</v>
      </c>
      <c r="I10" t="e">
        <f>VLOOKUP(#REF!,Normalize.db!H:I,2,FALSE)</f>
        <v>#REF!</v>
      </c>
      <c r="J10" t="s">
        <v>111</v>
      </c>
      <c r="K10" t="s">
        <v>112</v>
      </c>
      <c r="L10" t="e">
        <f>VLOOKUP(#REF!,Normalize.db!B:C,2,FALSE)</f>
        <v>#REF!</v>
      </c>
    </row>
    <row r="11" spans="1:12" x14ac:dyDescent="0.25">
      <c r="A11">
        <v>15</v>
      </c>
      <c r="B11" t="s">
        <v>115</v>
      </c>
      <c r="C11" t="s">
        <v>116</v>
      </c>
      <c r="D11" t="s">
        <v>117</v>
      </c>
      <c r="E11" t="s">
        <v>32</v>
      </c>
      <c r="F11" t="s">
        <v>118</v>
      </c>
      <c r="G11" s="5">
        <v>3500</v>
      </c>
      <c r="H11" t="s">
        <v>46</v>
      </c>
      <c r="I11" t="e">
        <f>VLOOKUP(#REF!,Normalize.db!H:I,2,FALSE)</f>
        <v>#REF!</v>
      </c>
      <c r="J11" t="s">
        <v>121</v>
      </c>
      <c r="K11" t="s">
        <v>122</v>
      </c>
      <c r="L11" t="e">
        <f>VLOOKUP(#REF!,Normalize.db!B:C,2,FALSE)</f>
        <v>#REF!</v>
      </c>
    </row>
    <row r="12" spans="1:12" x14ac:dyDescent="0.25">
      <c r="A12">
        <v>16</v>
      </c>
      <c r="B12" t="s">
        <v>124</v>
      </c>
      <c r="C12" t="s">
        <v>125</v>
      </c>
      <c r="D12" t="s">
        <v>126</v>
      </c>
      <c r="E12" t="s">
        <v>43</v>
      </c>
      <c r="F12" t="s">
        <v>127</v>
      </c>
      <c r="G12" s="5">
        <v>11</v>
      </c>
      <c r="H12" t="s">
        <v>129</v>
      </c>
      <c r="I12" t="e">
        <f>VLOOKUP(#REF!,Normalize.db!H:I,2,FALSE)</f>
        <v>#REF!</v>
      </c>
      <c r="J12" t="s">
        <v>49</v>
      </c>
      <c r="K12" t="s">
        <v>132</v>
      </c>
      <c r="L12" t="e">
        <f>VLOOKUP(#REF!,Normalize.db!B:C,2,FALSE)</f>
        <v>#REF!</v>
      </c>
    </row>
    <row r="13" spans="1:12" x14ac:dyDescent="0.25">
      <c r="A13">
        <v>17</v>
      </c>
      <c r="B13" t="s">
        <v>16</v>
      </c>
      <c r="C13" t="s">
        <v>133</v>
      </c>
      <c r="D13" t="s">
        <v>134</v>
      </c>
      <c r="E13" t="s">
        <v>32</v>
      </c>
      <c r="F13" t="s">
        <v>135</v>
      </c>
      <c r="G13" s="5">
        <v>750</v>
      </c>
      <c r="H13" t="s">
        <v>35</v>
      </c>
      <c r="I13" t="e">
        <f>VLOOKUP(#REF!,Normalize.db!H:I,2,FALSE)</f>
        <v>#REF!</v>
      </c>
      <c r="J13" t="s">
        <v>138</v>
      </c>
      <c r="K13" t="s">
        <v>139</v>
      </c>
      <c r="L13" t="e">
        <f>VLOOKUP(#REF!,Normalize.db!B:C,2,FALSE)</f>
        <v>#REF!</v>
      </c>
    </row>
    <row r="14" spans="1:12" x14ac:dyDescent="0.25">
      <c r="A14">
        <v>18</v>
      </c>
      <c r="B14" t="s">
        <v>141</v>
      </c>
      <c r="C14" t="s">
        <v>142</v>
      </c>
      <c r="D14" t="s">
        <v>143</v>
      </c>
      <c r="E14" t="s">
        <v>19</v>
      </c>
      <c r="F14" t="s">
        <v>144</v>
      </c>
      <c r="G14" s="5">
        <v>19250</v>
      </c>
      <c r="H14" t="s">
        <v>58</v>
      </c>
      <c r="I14" t="e">
        <f>VLOOKUP(#REF!,Normalize.db!H:I,2,FALSE)</f>
        <v>#REF!</v>
      </c>
      <c r="J14" t="s">
        <v>71</v>
      </c>
      <c r="K14" t="s">
        <v>148</v>
      </c>
      <c r="L14" t="e">
        <f>VLOOKUP(#REF!,Normalize.db!B:C,2,FALSE)</f>
        <v>#REF!</v>
      </c>
    </row>
    <row r="15" spans="1:12" x14ac:dyDescent="0.25">
      <c r="A15">
        <v>19</v>
      </c>
      <c r="B15" t="s">
        <v>150</v>
      </c>
      <c r="C15" t="s">
        <v>151</v>
      </c>
      <c r="D15" t="s">
        <v>152</v>
      </c>
      <c r="E15" t="s">
        <v>32</v>
      </c>
      <c r="F15" t="s">
        <v>153</v>
      </c>
      <c r="G15" s="5">
        <v>2100</v>
      </c>
      <c r="H15" t="s">
        <v>155</v>
      </c>
      <c r="I15" t="e">
        <f>VLOOKUP(#REF!,Normalize.db!H:I,2,FALSE)</f>
        <v>#REF!</v>
      </c>
      <c r="J15" t="s">
        <v>49</v>
      </c>
      <c r="K15" t="s">
        <v>157</v>
      </c>
      <c r="L15" t="e">
        <f>VLOOKUP(#REF!,Normalize.db!B:C,2,FALSE)</f>
        <v>#REF!</v>
      </c>
    </row>
    <row r="16" spans="1:12" x14ac:dyDescent="0.25">
      <c r="A16">
        <v>20</v>
      </c>
      <c r="B16" t="s">
        <v>160</v>
      </c>
      <c r="C16" t="s">
        <v>161</v>
      </c>
      <c r="D16" t="s">
        <v>162</v>
      </c>
      <c r="E16" t="s">
        <v>43</v>
      </c>
      <c r="F16" t="s">
        <v>163</v>
      </c>
      <c r="G16" s="5">
        <v>12000</v>
      </c>
      <c r="H16" t="s">
        <v>22</v>
      </c>
      <c r="I16" t="e">
        <f>VLOOKUP(#REF!,Normalize.db!H:I,2,FALSE)</f>
        <v>#REF!</v>
      </c>
      <c r="J16" t="s">
        <v>167</v>
      </c>
      <c r="K16" t="s">
        <v>168</v>
      </c>
      <c r="L16" t="e">
        <f>VLOOKUP(#REF!,Normalize.db!B:C,2,FALSE)</f>
        <v>#REF!</v>
      </c>
    </row>
    <row r="17" spans="1:12" x14ac:dyDescent="0.25">
      <c r="A17">
        <v>21</v>
      </c>
      <c r="B17" t="s">
        <v>169</v>
      </c>
      <c r="C17" t="s">
        <v>170</v>
      </c>
      <c r="D17" t="s">
        <v>171</v>
      </c>
      <c r="E17" t="s">
        <v>55</v>
      </c>
      <c r="F17" t="s">
        <v>172</v>
      </c>
      <c r="G17" s="5">
        <v>33700</v>
      </c>
      <c r="H17" t="s">
        <v>68</v>
      </c>
      <c r="I17" t="e">
        <f>VLOOKUP(#REF!,Normalize.db!H:I,2,FALSE)</f>
        <v>#REF!</v>
      </c>
      <c r="J17" t="s">
        <v>79</v>
      </c>
      <c r="K17" t="s">
        <v>174</v>
      </c>
      <c r="L17" t="e">
        <f>VLOOKUP(#REF!,Normalize.db!B:C,2,FALSE)</f>
        <v>#REF!</v>
      </c>
    </row>
    <row r="18" spans="1:12" x14ac:dyDescent="0.25">
      <c r="A18">
        <v>22</v>
      </c>
      <c r="B18" t="s">
        <v>16</v>
      </c>
      <c r="C18" t="s">
        <v>175</v>
      </c>
      <c r="D18" t="s">
        <v>176</v>
      </c>
      <c r="E18" t="s">
        <v>32</v>
      </c>
      <c r="F18" t="s">
        <v>177</v>
      </c>
      <c r="G18" s="5">
        <v>900</v>
      </c>
      <c r="H18" t="s">
        <v>46</v>
      </c>
      <c r="I18" t="e">
        <f>VLOOKUP(#REF!,Normalize.db!H:I,2,FALSE)</f>
        <v>#REF!</v>
      </c>
      <c r="J18" t="s">
        <v>181</v>
      </c>
      <c r="K18" t="s">
        <v>182</v>
      </c>
      <c r="L18" t="e">
        <f>VLOOKUP(#REF!,Normalize.db!B:C,2,FALSE)</f>
        <v>#REF!</v>
      </c>
    </row>
    <row r="19" spans="1:12" x14ac:dyDescent="0.25">
      <c r="A19">
        <v>23</v>
      </c>
      <c r="B19" t="s">
        <v>184</v>
      </c>
      <c r="C19" t="s">
        <v>185</v>
      </c>
      <c r="D19" t="s">
        <v>186</v>
      </c>
      <c r="E19" t="s">
        <v>43</v>
      </c>
      <c r="F19" t="s">
        <v>187</v>
      </c>
      <c r="G19" s="5">
        <v>7800</v>
      </c>
      <c r="H19" t="s">
        <v>35</v>
      </c>
      <c r="I19" t="e">
        <f>VLOOKUP(#REF!,Normalize.db!H:I,2,FALSE)</f>
        <v>#REF!</v>
      </c>
      <c r="J19" t="s">
        <v>190</v>
      </c>
      <c r="K19" t="s">
        <v>191</v>
      </c>
      <c r="L19" t="e">
        <f>VLOOKUP(#REF!,Normalize.db!B:C,2,FALSE)</f>
        <v>#REF!</v>
      </c>
    </row>
    <row r="20" spans="1:12" x14ac:dyDescent="0.25">
      <c r="A20">
        <v>24</v>
      </c>
      <c r="B20" t="s">
        <v>16</v>
      </c>
      <c r="C20" t="s">
        <v>192</v>
      </c>
      <c r="D20" t="s">
        <v>193</v>
      </c>
      <c r="E20" t="s">
        <v>19</v>
      </c>
      <c r="F20" t="s">
        <v>194</v>
      </c>
      <c r="G20" s="5">
        <v>16000</v>
      </c>
      <c r="H20" t="s">
        <v>22</v>
      </c>
      <c r="I20" t="e">
        <f>VLOOKUP(#REF!,Normalize.db!H:I,2,FALSE)</f>
        <v>#REF!</v>
      </c>
      <c r="J20" t="s">
        <v>198</v>
      </c>
      <c r="K20" t="s">
        <v>199</v>
      </c>
      <c r="L20" t="e">
        <f>VLOOKUP(#REF!,Normalize.db!B:C,2,FALSE)</f>
        <v>#REF!</v>
      </c>
    </row>
    <row r="21" spans="1:12" x14ac:dyDescent="0.25">
      <c r="A21">
        <v>25</v>
      </c>
      <c r="B21" t="s">
        <v>201</v>
      </c>
      <c r="C21" t="s">
        <v>202</v>
      </c>
      <c r="D21" t="s">
        <v>203</v>
      </c>
      <c r="E21" t="s">
        <v>32</v>
      </c>
      <c r="F21" t="s">
        <v>204</v>
      </c>
      <c r="G21" s="5">
        <v>2500</v>
      </c>
      <c r="H21" t="s">
        <v>89</v>
      </c>
      <c r="I21" t="e">
        <f>VLOOKUP(#REF!,Normalize.db!H:I,2,FALSE)</f>
        <v>#REF!</v>
      </c>
      <c r="J21" t="s">
        <v>208</v>
      </c>
      <c r="K21" t="s">
        <v>209</v>
      </c>
      <c r="L21" t="e">
        <f>VLOOKUP(#REF!,Normalize.db!B:C,2,FALSE)</f>
        <v>#REF!</v>
      </c>
    </row>
    <row r="22" spans="1:12" x14ac:dyDescent="0.25">
      <c r="A22">
        <v>26</v>
      </c>
      <c r="B22" t="s">
        <v>210</v>
      </c>
      <c r="C22" t="s">
        <v>211</v>
      </c>
      <c r="D22" t="s">
        <v>212</v>
      </c>
      <c r="E22" t="s">
        <v>86</v>
      </c>
      <c r="F22" t="s">
        <v>213</v>
      </c>
      <c r="G22" s="5">
        <v>49000</v>
      </c>
      <c r="H22" t="s">
        <v>68</v>
      </c>
      <c r="I22" t="e">
        <f>VLOOKUP(#REF!,Normalize.db!H:I,2,FALSE)</f>
        <v>#REF!</v>
      </c>
      <c r="J22" t="s">
        <v>216</v>
      </c>
      <c r="K22" t="s">
        <v>217</v>
      </c>
      <c r="L22" t="e">
        <f>VLOOKUP(#REF!,Normalize.db!B:C,2,FALSE)</f>
        <v>#REF!</v>
      </c>
    </row>
    <row r="23" spans="1:12" x14ac:dyDescent="0.25">
      <c r="A23">
        <v>27</v>
      </c>
      <c r="B23" t="s">
        <v>219</v>
      </c>
      <c r="C23" t="s">
        <v>220</v>
      </c>
      <c r="D23" t="s">
        <v>221</v>
      </c>
      <c r="E23" t="s">
        <v>222</v>
      </c>
      <c r="F23" t="s">
        <v>223</v>
      </c>
      <c r="G23" s="5">
        <v>0</v>
      </c>
      <c r="H23" t="s">
        <v>35</v>
      </c>
      <c r="I23" t="e">
        <f>VLOOKUP(#REF!,Normalize.db!H:I,2,FALSE)</f>
        <v>#REF!</v>
      </c>
      <c r="J23" t="s">
        <v>49</v>
      </c>
      <c r="K23" t="s">
        <v>226</v>
      </c>
      <c r="L23" t="e">
        <f>VLOOKUP(#REF!,Normalize.db!B:C,2,FALSE)</f>
        <v>#REF!</v>
      </c>
    </row>
    <row r="24" spans="1:12" x14ac:dyDescent="0.25">
      <c r="A24">
        <v>28</v>
      </c>
      <c r="B24" t="s">
        <v>16</v>
      </c>
      <c r="C24" t="s">
        <v>227</v>
      </c>
      <c r="D24" t="s">
        <v>228</v>
      </c>
      <c r="E24" t="s">
        <v>32</v>
      </c>
      <c r="F24" t="s">
        <v>229</v>
      </c>
      <c r="G24" s="5">
        <v>1050</v>
      </c>
      <c r="H24" t="s">
        <v>58</v>
      </c>
      <c r="I24" t="e">
        <f>VLOOKUP(#REF!,Normalize.db!H:I,2,FALSE)</f>
        <v>#REF!</v>
      </c>
      <c r="J24" t="s">
        <v>232</v>
      </c>
      <c r="K24" t="s">
        <v>233</v>
      </c>
      <c r="L24" t="e">
        <f>VLOOKUP(#REF!,Normalize.db!B:C,2,FALSE)</f>
        <v>#REF!</v>
      </c>
    </row>
    <row r="25" spans="1:12" x14ac:dyDescent="0.25">
      <c r="A25">
        <v>29</v>
      </c>
      <c r="B25" t="s">
        <v>236</v>
      </c>
      <c r="C25" t="s">
        <v>237</v>
      </c>
      <c r="D25" t="s">
        <v>238</v>
      </c>
      <c r="E25" t="s">
        <v>43</v>
      </c>
      <c r="F25" t="s">
        <v>239</v>
      </c>
      <c r="G25" s="5">
        <v>6250</v>
      </c>
      <c r="H25" t="s">
        <v>46</v>
      </c>
      <c r="I25" t="e">
        <f>VLOOKUP(#REF!,Normalize.db!H:I,2,FALSE)</f>
        <v>#REF!</v>
      </c>
      <c r="J25" t="s">
        <v>190</v>
      </c>
      <c r="K25" t="s">
        <v>242</v>
      </c>
      <c r="L25" t="e">
        <f>VLOOKUP(#REF!,Normalize.db!B:C,2,FALSE)</f>
        <v>#REF!</v>
      </c>
    </row>
    <row r="26" spans="1:12" x14ac:dyDescent="0.25">
      <c r="A26">
        <v>30</v>
      </c>
      <c r="B26" t="s">
        <v>244</v>
      </c>
      <c r="C26" t="s">
        <v>245</v>
      </c>
      <c r="D26" t="s">
        <v>246</v>
      </c>
      <c r="E26" t="s">
        <v>55</v>
      </c>
      <c r="F26" t="s">
        <v>247</v>
      </c>
      <c r="G26" s="5">
        <v>38400</v>
      </c>
      <c r="H26" t="s">
        <v>22</v>
      </c>
      <c r="I26" t="e">
        <f>VLOOKUP(#REF!,Normalize.db!H:I,2,FALSE)</f>
        <v>#REF!</v>
      </c>
      <c r="J26" t="s">
        <v>250</v>
      </c>
      <c r="K26" t="s">
        <v>251</v>
      </c>
      <c r="L26" t="e">
        <f>VLOOKUP(#REF!,Normalize.db!B:C,2,FALSE)</f>
        <v>#REF!</v>
      </c>
    </row>
    <row r="27" spans="1:12" x14ac:dyDescent="0.25">
      <c r="A27">
        <v>31</v>
      </c>
      <c r="B27" t="s">
        <v>16</v>
      </c>
      <c r="C27" t="s">
        <v>252</v>
      </c>
      <c r="D27" t="s">
        <v>253</v>
      </c>
      <c r="E27" t="s">
        <v>32</v>
      </c>
      <c r="F27" t="s">
        <v>254</v>
      </c>
      <c r="G27" s="5">
        <v>400</v>
      </c>
      <c r="H27" t="s">
        <v>35</v>
      </c>
      <c r="I27" t="e">
        <f>VLOOKUP(#REF!,Normalize.db!H:I,2,FALSE)</f>
        <v>#REF!</v>
      </c>
      <c r="J27" t="s">
        <v>257</v>
      </c>
      <c r="K27" t="s">
        <v>258</v>
      </c>
      <c r="L27" t="e">
        <f>VLOOKUP(#REF!,Normalize.db!B:C,2,FALSE)</f>
        <v>#REF!</v>
      </c>
    </row>
    <row r="28" spans="1:12" x14ac:dyDescent="0.25">
      <c r="A28">
        <v>32</v>
      </c>
      <c r="B28" t="s">
        <v>259</v>
      </c>
      <c r="C28" t="s">
        <v>260</v>
      </c>
      <c r="D28" t="s">
        <v>261</v>
      </c>
      <c r="E28" t="s">
        <v>19</v>
      </c>
      <c r="F28" t="s">
        <v>262</v>
      </c>
      <c r="G28" s="5">
        <v>13600</v>
      </c>
      <c r="H28" t="s">
        <v>58</v>
      </c>
      <c r="I28" t="e">
        <f>VLOOKUP(#REF!,Normalize.db!H:I,2,FALSE)</f>
        <v>#REF!</v>
      </c>
      <c r="J28" t="s">
        <v>266</v>
      </c>
      <c r="K28" t="s">
        <v>267</v>
      </c>
      <c r="L28" t="e">
        <f>VLOOKUP(#REF!,Normalize.db!B:C,2,FALSE)</f>
        <v>#REF!</v>
      </c>
    </row>
    <row r="29" spans="1:12" x14ac:dyDescent="0.25">
      <c r="A29">
        <v>33</v>
      </c>
      <c r="B29" t="s">
        <v>268</v>
      </c>
      <c r="C29" t="s">
        <v>269</v>
      </c>
      <c r="D29" t="s">
        <v>270</v>
      </c>
      <c r="E29" t="s">
        <v>43</v>
      </c>
      <c r="F29" t="s">
        <v>271</v>
      </c>
      <c r="G29" s="5">
        <v>8900</v>
      </c>
      <c r="H29" t="s">
        <v>89</v>
      </c>
      <c r="I29" t="e">
        <f>VLOOKUP(#REF!,Normalize.db!H:I,2,FALSE)</f>
        <v>#REF!</v>
      </c>
      <c r="J29" t="s">
        <v>49</v>
      </c>
      <c r="K29" t="s">
        <v>274</v>
      </c>
      <c r="L29" t="e">
        <f>VLOOKUP(#REF!,Normalize.db!B:C,2,FALSE)</f>
        <v>#REF!</v>
      </c>
    </row>
    <row r="30" spans="1:12" x14ac:dyDescent="0.25">
      <c r="A30">
        <v>34</v>
      </c>
      <c r="B30" t="s">
        <v>275</v>
      </c>
      <c r="C30" t="s">
        <v>276</v>
      </c>
      <c r="D30" t="s">
        <v>277</v>
      </c>
      <c r="E30" t="s">
        <v>19</v>
      </c>
      <c r="F30" t="s">
        <v>278</v>
      </c>
      <c r="G30" s="5">
        <v>21750</v>
      </c>
      <c r="H30" t="s">
        <v>35</v>
      </c>
      <c r="I30" t="e">
        <f>VLOOKUP(#REF!,Normalize.db!H:I,2,FALSE)</f>
        <v>#REF!</v>
      </c>
      <c r="J30" t="s">
        <v>79</v>
      </c>
      <c r="K30" t="s">
        <v>281</v>
      </c>
      <c r="L30" t="e">
        <f>VLOOKUP(#REF!,Normalize.db!B:C,2,FALSE)</f>
        <v>#REF!</v>
      </c>
    </row>
    <row r="31" spans="1:12" x14ac:dyDescent="0.25">
      <c r="A31">
        <v>35</v>
      </c>
      <c r="B31" t="s">
        <v>282</v>
      </c>
      <c r="C31" t="s">
        <v>283</v>
      </c>
      <c r="D31" t="s">
        <v>284</v>
      </c>
      <c r="E31" t="s">
        <v>222</v>
      </c>
      <c r="F31" t="s">
        <v>285</v>
      </c>
      <c r="G31" s="5">
        <v>0</v>
      </c>
      <c r="H31" t="s">
        <v>155</v>
      </c>
      <c r="I31" t="e">
        <f>VLOOKUP(#REF!,Normalize.db!H:I,2,FALSE)</f>
        <v>#REF!</v>
      </c>
      <c r="J31" t="s">
        <v>71</v>
      </c>
      <c r="K31" t="s">
        <v>288</v>
      </c>
      <c r="L31" t="e">
        <f>VLOOKUP(#REF!,Normalize.db!B:C,2,FALSE)</f>
        <v>#REF!</v>
      </c>
    </row>
    <row r="32" spans="1:12" x14ac:dyDescent="0.25">
      <c r="A32">
        <v>36</v>
      </c>
      <c r="B32" t="s">
        <v>16</v>
      </c>
      <c r="C32" t="s">
        <v>291</v>
      </c>
      <c r="D32" t="s">
        <v>292</v>
      </c>
      <c r="E32" t="s">
        <v>32</v>
      </c>
      <c r="F32" t="s">
        <v>293</v>
      </c>
      <c r="G32" s="5">
        <v>4800</v>
      </c>
      <c r="H32" t="s">
        <v>22</v>
      </c>
      <c r="I32" t="e">
        <f>VLOOKUP(#REF!,Normalize.db!H:I,2,FALSE)</f>
        <v>#REF!</v>
      </c>
      <c r="J32" t="s">
        <v>79</v>
      </c>
      <c r="K32" t="s">
        <v>296</v>
      </c>
      <c r="L32" t="e">
        <f>VLOOKUP(#REF!,Normalize.db!B:C,2,FALSE)</f>
        <v>#REF!</v>
      </c>
    </row>
    <row r="33" spans="1:12" x14ac:dyDescent="0.25">
      <c r="A33">
        <v>37</v>
      </c>
      <c r="B33" t="s">
        <v>297</v>
      </c>
      <c r="C33" t="s">
        <v>298</v>
      </c>
      <c r="D33" t="s">
        <v>193</v>
      </c>
      <c r="E33" t="s">
        <v>43</v>
      </c>
      <c r="F33" t="s">
        <v>299</v>
      </c>
      <c r="G33" s="5">
        <v>12200</v>
      </c>
      <c r="H33" t="s">
        <v>68</v>
      </c>
      <c r="I33" t="e">
        <f>VLOOKUP(#REF!,Normalize.db!H:I,2,FALSE)</f>
        <v>#REF!</v>
      </c>
      <c r="J33" t="s">
        <v>71</v>
      </c>
      <c r="K33" t="s">
        <v>302</v>
      </c>
      <c r="L33" t="e">
        <f>VLOOKUP(#REF!,Normalize.db!B:C,2,FALSE)</f>
        <v>#REF!</v>
      </c>
    </row>
    <row r="34" spans="1:12" x14ac:dyDescent="0.25">
      <c r="A34">
        <v>38</v>
      </c>
      <c r="B34" t="s">
        <v>303</v>
      </c>
      <c r="C34" t="s">
        <v>304</v>
      </c>
      <c r="D34" t="s">
        <v>171</v>
      </c>
      <c r="E34" t="s">
        <v>19</v>
      </c>
      <c r="F34" t="s">
        <v>305</v>
      </c>
      <c r="G34" s="5">
        <v>24100</v>
      </c>
      <c r="H34" t="s">
        <v>46</v>
      </c>
      <c r="I34" t="e">
        <f>VLOOKUP(#REF!,Normalize.db!H:I,2,FALSE)</f>
        <v>#REF!</v>
      </c>
      <c r="J34" t="s">
        <v>257</v>
      </c>
      <c r="K34" t="s">
        <v>308</v>
      </c>
      <c r="L34" t="e">
        <f>VLOOKUP(#REF!,Normalize.db!B:C,2,FALSE)</f>
        <v>#REF!</v>
      </c>
    </row>
    <row r="35" spans="1:12" x14ac:dyDescent="0.25">
      <c r="A35">
        <v>39</v>
      </c>
      <c r="B35" t="s">
        <v>309</v>
      </c>
      <c r="C35" t="s">
        <v>310</v>
      </c>
      <c r="D35" t="s">
        <v>311</v>
      </c>
      <c r="E35" t="s">
        <v>222</v>
      </c>
      <c r="F35" t="s">
        <v>312</v>
      </c>
      <c r="G35" s="5">
        <v>0</v>
      </c>
      <c r="H35" t="s">
        <v>35</v>
      </c>
      <c r="I35" t="e">
        <f>VLOOKUP(#REF!,Normalize.db!H:I,2,FALSE)</f>
        <v>#REF!</v>
      </c>
      <c r="J35" t="s">
        <v>314</v>
      </c>
      <c r="K35" t="s">
        <v>315</v>
      </c>
      <c r="L35" t="e">
        <f>VLOOKUP(#REF!,Normalize.db!B:C,2,FALSE)</f>
        <v>#REF!</v>
      </c>
    </row>
    <row r="36" spans="1:12" x14ac:dyDescent="0.25">
      <c r="A36">
        <v>40</v>
      </c>
      <c r="B36" t="s">
        <v>316</v>
      </c>
      <c r="C36" t="s">
        <v>317</v>
      </c>
      <c r="D36" t="s">
        <v>318</v>
      </c>
      <c r="E36" t="s">
        <v>32</v>
      </c>
      <c r="F36" t="s">
        <v>319</v>
      </c>
      <c r="G36" s="5">
        <v>10</v>
      </c>
      <c r="H36" t="s">
        <v>58</v>
      </c>
      <c r="I36" t="e">
        <f>VLOOKUP(#REF!,Normalize.db!H:I,2,FALSE)</f>
        <v>#REF!</v>
      </c>
      <c r="J36" t="s">
        <v>321</v>
      </c>
      <c r="K36" t="s">
        <v>322</v>
      </c>
      <c r="L36" t="e">
        <f>VLOOKUP(#REF!,Normalize.db!B:C,2,FALSE)</f>
        <v>#REF!</v>
      </c>
    </row>
    <row r="37" spans="1:12" x14ac:dyDescent="0.25">
      <c r="A37">
        <v>41</v>
      </c>
      <c r="B37" t="s">
        <v>323</v>
      </c>
      <c r="C37" t="s">
        <v>324</v>
      </c>
      <c r="D37" t="s">
        <v>105</v>
      </c>
      <c r="E37" t="s">
        <v>55</v>
      </c>
      <c r="F37" t="s">
        <v>325</v>
      </c>
      <c r="G37" s="5">
        <v>31000</v>
      </c>
      <c r="H37" t="s">
        <v>108</v>
      </c>
      <c r="I37" t="e">
        <f>VLOOKUP(#REF!,Normalize.db!H:I,2,FALSE)</f>
        <v>#REF!</v>
      </c>
      <c r="J37" t="s">
        <v>328</v>
      </c>
      <c r="K37" t="s">
        <v>329</v>
      </c>
      <c r="L37" t="e">
        <f>VLOOKUP(#REF!,Normalize.db!B:C,2,FALSE)</f>
        <v>#REF!</v>
      </c>
    </row>
    <row r="38" spans="1:12" x14ac:dyDescent="0.25">
      <c r="A38">
        <v>42</v>
      </c>
      <c r="B38" t="s">
        <v>330</v>
      </c>
      <c r="C38" t="s">
        <v>331</v>
      </c>
      <c r="D38" t="s">
        <v>332</v>
      </c>
      <c r="E38" t="s">
        <v>32</v>
      </c>
      <c r="F38" t="s">
        <v>333</v>
      </c>
      <c r="G38" s="5">
        <v>2400</v>
      </c>
      <c r="H38" t="s">
        <v>35</v>
      </c>
      <c r="I38" t="e">
        <f>VLOOKUP(#REF!,Normalize.db!H:I,2,FALSE)</f>
        <v>#REF!</v>
      </c>
      <c r="J38" t="s">
        <v>335</v>
      </c>
      <c r="K38" t="s">
        <v>336</v>
      </c>
      <c r="L38" t="e">
        <f>VLOOKUP(#REF!,Normalize.db!B:C,2,FALSE)</f>
        <v>#REF!</v>
      </c>
    </row>
    <row r="39" spans="1:12" x14ac:dyDescent="0.25">
      <c r="A39">
        <v>43</v>
      </c>
      <c r="B39" t="s">
        <v>16</v>
      </c>
      <c r="C39" t="s">
        <v>337</v>
      </c>
      <c r="D39" t="s">
        <v>42</v>
      </c>
      <c r="E39" t="s">
        <v>43</v>
      </c>
      <c r="F39" t="s">
        <v>338</v>
      </c>
      <c r="G39" s="5">
        <v>6773</v>
      </c>
      <c r="H39" t="s">
        <v>35</v>
      </c>
      <c r="I39" t="e">
        <f>VLOOKUP(#REF!,Normalize.db!H:I,2,FALSE)</f>
        <v>#REF!</v>
      </c>
      <c r="J39" t="s">
        <v>121</v>
      </c>
      <c r="K39" t="s">
        <v>340</v>
      </c>
      <c r="L39" t="e">
        <f>VLOOKUP(#REF!,Normalize.db!B:C,2,FALSE)</f>
        <v>#REF!</v>
      </c>
    </row>
    <row r="40" spans="1:12" x14ac:dyDescent="0.25">
      <c r="A40">
        <v>44</v>
      </c>
      <c r="B40" t="s">
        <v>16</v>
      </c>
      <c r="C40" t="s">
        <v>341</v>
      </c>
      <c r="D40" t="s">
        <v>117</v>
      </c>
      <c r="E40" t="s">
        <v>32</v>
      </c>
      <c r="F40" t="s">
        <v>342</v>
      </c>
      <c r="G40" s="5">
        <v>5800</v>
      </c>
      <c r="H40" t="s">
        <v>46</v>
      </c>
      <c r="I40" t="e">
        <f>VLOOKUP(#REF!,Normalize.db!H:I,2,FALSE)</f>
        <v>#REF!</v>
      </c>
      <c r="J40" t="s">
        <v>71</v>
      </c>
      <c r="K40" t="s">
        <v>345</v>
      </c>
      <c r="L40" t="e">
        <f>VLOOKUP(#REF!,Normalize.db!B:C,2,FALSE)</f>
        <v>#REF!</v>
      </c>
    </row>
    <row r="41" spans="1:12" x14ac:dyDescent="0.25">
      <c r="A41">
        <v>45</v>
      </c>
      <c r="B41" t="s">
        <v>346</v>
      </c>
      <c r="C41" t="s">
        <v>347</v>
      </c>
      <c r="D41" t="s">
        <v>65</v>
      </c>
      <c r="E41" t="s">
        <v>222</v>
      </c>
      <c r="F41" t="s">
        <v>348</v>
      </c>
      <c r="G41" s="5">
        <v>0</v>
      </c>
      <c r="H41" t="s">
        <v>129</v>
      </c>
      <c r="I41" t="e">
        <f>VLOOKUP(#REF!,Normalize.db!H:I,2,FALSE)</f>
        <v>#REF!</v>
      </c>
      <c r="J41" t="s">
        <v>350</v>
      </c>
      <c r="K41" t="s">
        <v>351</v>
      </c>
      <c r="L41" t="e">
        <f>VLOOKUP(#REF!,Normalize.db!B:C,2,FALSE)</f>
        <v>#REF!</v>
      </c>
    </row>
    <row r="42" spans="1:12" x14ac:dyDescent="0.25">
      <c r="A42">
        <v>46</v>
      </c>
      <c r="B42" t="s">
        <v>352</v>
      </c>
      <c r="C42" t="s">
        <v>353</v>
      </c>
      <c r="D42" t="s">
        <v>354</v>
      </c>
      <c r="E42" t="s">
        <v>19</v>
      </c>
      <c r="F42" t="s">
        <v>355</v>
      </c>
      <c r="G42" s="5">
        <v>18400</v>
      </c>
      <c r="H42" t="s">
        <v>22</v>
      </c>
      <c r="I42" t="e">
        <f>VLOOKUP(#REF!,Normalize.db!H:I,2,FALSE)</f>
        <v>#REF!</v>
      </c>
      <c r="J42" t="s">
        <v>60</v>
      </c>
      <c r="K42" t="s">
        <v>358</v>
      </c>
      <c r="L42" t="e">
        <f>VLOOKUP(#REF!,Normalize.db!B:C,2,FALSE)</f>
        <v>#REF!</v>
      </c>
    </row>
    <row r="43" spans="1:12" x14ac:dyDescent="0.25">
      <c r="A43">
        <v>47</v>
      </c>
      <c r="B43" t="s">
        <v>16</v>
      </c>
      <c r="C43" t="s">
        <v>359</v>
      </c>
      <c r="D43" t="s">
        <v>360</v>
      </c>
      <c r="E43" t="s">
        <v>32</v>
      </c>
      <c r="F43" t="s">
        <v>361</v>
      </c>
      <c r="G43" s="5">
        <v>700</v>
      </c>
      <c r="H43" t="s">
        <v>35</v>
      </c>
      <c r="I43" t="e">
        <f>VLOOKUP(#REF!,Normalize.db!H:I,2,FALSE)</f>
        <v>#REF!</v>
      </c>
      <c r="J43" t="s">
        <v>49</v>
      </c>
      <c r="K43" t="s">
        <v>363</v>
      </c>
      <c r="L43" t="e">
        <f>VLOOKUP(#REF!,Normalize.db!B:C,2,FALSE)</f>
        <v>#REF!</v>
      </c>
    </row>
    <row r="44" spans="1:12" x14ac:dyDescent="0.25">
      <c r="A44">
        <v>48</v>
      </c>
      <c r="B44" t="s">
        <v>364</v>
      </c>
      <c r="C44" t="s">
        <v>365</v>
      </c>
      <c r="D44" t="s">
        <v>96</v>
      </c>
      <c r="E44" t="s">
        <v>43</v>
      </c>
      <c r="F44" t="s">
        <v>366</v>
      </c>
      <c r="G44" s="5">
        <v>15000</v>
      </c>
      <c r="H44" t="s">
        <v>89</v>
      </c>
      <c r="I44" t="e">
        <f>VLOOKUP(#REF!,Normalize.db!H:I,2,FALSE)</f>
        <v>#REF!</v>
      </c>
      <c r="J44" t="s">
        <v>71</v>
      </c>
      <c r="K44" t="s">
        <v>368</v>
      </c>
      <c r="L44" t="e">
        <f>VLOOKUP(#REF!,Normalize.db!B:C,2,FALSE)</f>
        <v>#REF!</v>
      </c>
    </row>
    <row r="45" spans="1:12" x14ac:dyDescent="0.25">
      <c r="A45">
        <v>49</v>
      </c>
      <c r="B45" t="s">
        <v>369</v>
      </c>
      <c r="C45" t="s">
        <v>370</v>
      </c>
      <c r="D45" t="s">
        <v>277</v>
      </c>
      <c r="E45" t="s">
        <v>19</v>
      </c>
      <c r="F45" t="s">
        <v>371</v>
      </c>
      <c r="G45" s="5">
        <v>19750</v>
      </c>
      <c r="H45" t="s">
        <v>58</v>
      </c>
      <c r="I45" t="e">
        <f>VLOOKUP(#REF!,Normalize.db!H:I,2,FALSE)</f>
        <v>#REF!</v>
      </c>
      <c r="J45" t="s">
        <v>121</v>
      </c>
      <c r="K45" t="s">
        <v>373</v>
      </c>
      <c r="L45" t="e">
        <f>VLOOKUP(#REF!,Normalize.db!B:C,2,FALSE)</f>
        <v>#REF!</v>
      </c>
    </row>
    <row r="46" spans="1:12" x14ac:dyDescent="0.25">
      <c r="A46">
        <v>50</v>
      </c>
      <c r="B46" t="s">
        <v>374</v>
      </c>
      <c r="C46" t="s">
        <v>375</v>
      </c>
      <c r="D46" t="s">
        <v>126</v>
      </c>
      <c r="E46" t="s">
        <v>222</v>
      </c>
      <c r="F46" t="s">
        <v>376</v>
      </c>
      <c r="G46" s="5">
        <v>3200</v>
      </c>
      <c r="H46" t="s">
        <v>155</v>
      </c>
      <c r="I46" t="e">
        <f>VLOOKUP(#REF!,Normalize.db!H:I,2,FALSE)</f>
        <v>#REF!</v>
      </c>
      <c r="J46" t="s">
        <v>167</v>
      </c>
      <c r="K46" t="s">
        <v>377</v>
      </c>
      <c r="L46" t="e">
        <f>VLOOKUP(#REF!,Normalize.db!B:C,2,FALSE)</f>
        <v>#REF!</v>
      </c>
    </row>
    <row r="47" spans="1:12" x14ac:dyDescent="0.25">
      <c r="A47">
        <v>51</v>
      </c>
      <c r="B47" t="s">
        <v>378</v>
      </c>
      <c r="C47" t="s">
        <v>379</v>
      </c>
      <c r="D47" t="s">
        <v>18</v>
      </c>
      <c r="E47" t="s">
        <v>55</v>
      </c>
      <c r="F47" t="s">
        <v>380</v>
      </c>
      <c r="G47" s="5">
        <v>27600</v>
      </c>
      <c r="H47" t="s">
        <v>68</v>
      </c>
      <c r="I47" t="e">
        <f>VLOOKUP(#REF!,Normalize.db!H:I,2,FALSE)</f>
        <v>#REF!</v>
      </c>
      <c r="J47" t="s">
        <v>71</v>
      </c>
      <c r="K47" t="s">
        <v>383</v>
      </c>
      <c r="L47" t="e">
        <f>VLOOKUP(#REF!,Normalize.db!B:C,2,FALSE)</f>
        <v>#REF!</v>
      </c>
    </row>
    <row r="48" spans="1:12" x14ac:dyDescent="0.25">
      <c r="A48">
        <v>52</v>
      </c>
      <c r="B48" t="s">
        <v>16</v>
      </c>
      <c r="C48" t="s">
        <v>384</v>
      </c>
      <c r="D48" t="s">
        <v>385</v>
      </c>
      <c r="E48" t="s">
        <v>32</v>
      </c>
      <c r="F48" t="s">
        <v>386</v>
      </c>
      <c r="G48" s="5">
        <v>2100</v>
      </c>
      <c r="H48" t="s">
        <v>46</v>
      </c>
      <c r="I48" t="e">
        <f>VLOOKUP(#REF!,Normalize.db!H:I,2,FALSE)</f>
        <v>#REF!</v>
      </c>
      <c r="J48" t="s">
        <v>71</v>
      </c>
      <c r="K48" t="s">
        <v>388</v>
      </c>
      <c r="L48" t="e">
        <f>VLOOKUP(#REF!,Normalize.db!B:C,2,FALSE)</f>
        <v>#REF!</v>
      </c>
    </row>
    <row r="49" spans="1:12" x14ac:dyDescent="0.25">
      <c r="A49">
        <v>53</v>
      </c>
      <c r="B49" t="s">
        <v>389</v>
      </c>
      <c r="C49" t="s">
        <v>390</v>
      </c>
      <c r="D49" t="s">
        <v>212</v>
      </c>
      <c r="E49" t="s">
        <v>86</v>
      </c>
      <c r="F49" t="s">
        <v>391</v>
      </c>
      <c r="G49" s="5">
        <v>52000</v>
      </c>
      <c r="H49" t="s">
        <v>35</v>
      </c>
      <c r="I49" t="e">
        <f>VLOOKUP(#REF!,Normalize.db!H:I,2,FALSE)</f>
        <v>#REF!</v>
      </c>
      <c r="J49" t="s">
        <v>393</v>
      </c>
      <c r="K49" t="s">
        <v>394</v>
      </c>
      <c r="L49" t="e">
        <f>VLOOKUP(#REF!,Normalize.db!B:C,2,FALSE)</f>
        <v>#REF!</v>
      </c>
    </row>
    <row r="50" spans="1:12" x14ac:dyDescent="0.25">
      <c r="A50">
        <v>54</v>
      </c>
      <c r="B50" t="s">
        <v>395</v>
      </c>
      <c r="C50" t="s">
        <v>396</v>
      </c>
      <c r="D50" t="s">
        <v>397</v>
      </c>
      <c r="E50" t="s">
        <v>43</v>
      </c>
      <c r="F50" t="s">
        <v>398</v>
      </c>
      <c r="G50" s="5">
        <v>11300</v>
      </c>
      <c r="H50" t="s">
        <v>22</v>
      </c>
      <c r="I50" t="e">
        <f>VLOOKUP(#REF!,Normalize.db!H:I,2,FALSE)</f>
        <v>#REF!</v>
      </c>
      <c r="J50" t="s">
        <v>400</v>
      </c>
      <c r="K50" t="s">
        <v>401</v>
      </c>
      <c r="L50" t="e">
        <f>VLOOKUP(#REF!,Normalize.db!B:C,2,FALSE)</f>
        <v>#REF!</v>
      </c>
    </row>
    <row r="51" spans="1:12" x14ac:dyDescent="0.25">
      <c r="A51">
        <v>55</v>
      </c>
      <c r="B51" t="s">
        <v>402</v>
      </c>
      <c r="C51" t="s">
        <v>403</v>
      </c>
      <c r="D51" t="s">
        <v>221</v>
      </c>
      <c r="E51" t="s">
        <v>222</v>
      </c>
      <c r="F51" t="s">
        <v>404</v>
      </c>
      <c r="G51" s="5">
        <v>0</v>
      </c>
      <c r="H51" t="s">
        <v>89</v>
      </c>
      <c r="I51" t="e">
        <f>VLOOKUP(#REF!,Normalize.db!H:I,2,FALSE)</f>
        <v>#REF!</v>
      </c>
      <c r="J51" t="s">
        <v>407</v>
      </c>
      <c r="K51" t="s">
        <v>408</v>
      </c>
      <c r="L51" t="e">
        <f>VLOOKUP(#REF!,Normalize.db!B:C,2,FALSE)</f>
        <v>#REF!</v>
      </c>
    </row>
    <row r="52" spans="1:12" x14ac:dyDescent="0.25">
      <c r="A52">
        <v>56</v>
      </c>
      <c r="B52" t="s">
        <v>409</v>
      </c>
      <c r="C52" t="s">
        <v>410</v>
      </c>
      <c r="D52" t="s">
        <v>85</v>
      </c>
      <c r="E52" t="s">
        <v>19</v>
      </c>
      <c r="F52" t="s">
        <v>411</v>
      </c>
      <c r="G52" s="5">
        <v>15900</v>
      </c>
      <c r="H52" t="s">
        <v>68</v>
      </c>
      <c r="I52" t="e">
        <f>VLOOKUP(#REF!,Normalize.db!H:I,2,FALSE)</f>
        <v>#REF!</v>
      </c>
      <c r="J52" t="s">
        <v>413</v>
      </c>
      <c r="K52" t="s">
        <v>414</v>
      </c>
      <c r="L52" t="e">
        <f>VLOOKUP(#REF!,Normalize.db!B:C,2,FALSE)</f>
        <v>#REF!</v>
      </c>
    </row>
    <row r="53" spans="1:12" x14ac:dyDescent="0.25">
      <c r="A53">
        <v>57</v>
      </c>
      <c r="B53" t="s">
        <v>16</v>
      </c>
      <c r="C53" t="s">
        <v>415</v>
      </c>
      <c r="D53" t="s">
        <v>238</v>
      </c>
      <c r="E53" t="s">
        <v>32</v>
      </c>
      <c r="F53" t="s">
        <v>416</v>
      </c>
      <c r="G53" s="5">
        <v>6600</v>
      </c>
      <c r="H53" t="s">
        <v>35</v>
      </c>
      <c r="I53" t="e">
        <f>VLOOKUP(#REF!,Normalize.db!H:I,2,FALSE)</f>
        <v>#REF!</v>
      </c>
      <c r="J53" t="s">
        <v>71</v>
      </c>
      <c r="K53" t="s">
        <v>226</v>
      </c>
      <c r="L53" t="e">
        <f>VLOOKUP(#REF!,Normalize.db!B:C,2,FALSE)</f>
        <v>#REF!</v>
      </c>
    </row>
    <row r="54" spans="1:12" x14ac:dyDescent="0.25">
      <c r="A54">
        <v>58</v>
      </c>
      <c r="B54" t="s">
        <v>418</v>
      </c>
      <c r="C54" t="s">
        <v>419</v>
      </c>
      <c r="D54" t="s">
        <v>246</v>
      </c>
      <c r="E54" t="s">
        <v>55</v>
      </c>
      <c r="F54" t="s">
        <v>420</v>
      </c>
      <c r="G54" s="5">
        <v>40250</v>
      </c>
      <c r="H54" t="s">
        <v>58</v>
      </c>
      <c r="I54" t="e">
        <f>VLOOKUP(#REF!,Normalize.db!H:I,2,FALSE)</f>
        <v>#REF!</v>
      </c>
      <c r="J54" t="s">
        <v>138</v>
      </c>
      <c r="K54" t="s">
        <v>422</v>
      </c>
      <c r="L54" t="e">
        <f>VLOOKUP(#REF!,Normalize.db!B:C,2,FALSE)</f>
        <v>#REF!</v>
      </c>
    </row>
    <row r="55" spans="1:12" x14ac:dyDescent="0.25">
      <c r="A55">
        <v>59</v>
      </c>
      <c r="B55" t="s">
        <v>16</v>
      </c>
      <c r="C55" t="s">
        <v>425</v>
      </c>
      <c r="D55" t="s">
        <v>176</v>
      </c>
      <c r="E55" t="s">
        <v>222</v>
      </c>
      <c r="F55" t="s">
        <v>426</v>
      </c>
      <c r="G55" s="5">
        <v>850</v>
      </c>
      <c r="H55" t="s">
        <v>46</v>
      </c>
      <c r="I55" t="e">
        <f>VLOOKUP(#REF!,Normalize.db!H:I,2,FALSE)</f>
        <v>#REF!</v>
      </c>
      <c r="J55" t="s">
        <v>428</v>
      </c>
      <c r="K55" t="s">
        <v>429</v>
      </c>
      <c r="L55" t="e">
        <f>VLOOKUP(#REF!,Normalize.db!B:C,2,FALSE)</f>
        <v>#REF!</v>
      </c>
    </row>
    <row r="56" spans="1:12" x14ac:dyDescent="0.25">
      <c r="A56">
        <v>60</v>
      </c>
      <c r="B56" t="s">
        <v>430</v>
      </c>
      <c r="C56" t="s">
        <v>431</v>
      </c>
      <c r="D56" t="s">
        <v>228</v>
      </c>
      <c r="E56" t="s">
        <v>32</v>
      </c>
      <c r="F56" t="s">
        <v>432</v>
      </c>
      <c r="G56" s="5">
        <v>1400</v>
      </c>
      <c r="H56" t="s">
        <v>22</v>
      </c>
      <c r="I56" t="e">
        <f>VLOOKUP(#REF!,Normalize.db!H:I,2,FALSE)</f>
        <v>#REF!</v>
      </c>
      <c r="J56" t="s">
        <v>71</v>
      </c>
      <c r="K56" t="s">
        <v>434</v>
      </c>
      <c r="L56" t="e">
        <f>VLOOKUP(#REF!,Normalize.db!B:C,2,FALSE)</f>
        <v>#REF!</v>
      </c>
    </row>
    <row r="57" spans="1:12" x14ac:dyDescent="0.25">
      <c r="A57">
        <v>61</v>
      </c>
      <c r="B57" t="s">
        <v>435</v>
      </c>
      <c r="C57" t="s">
        <v>436</v>
      </c>
      <c r="D57" t="s">
        <v>76</v>
      </c>
      <c r="E57" t="s">
        <v>43</v>
      </c>
      <c r="F57" t="s">
        <v>437</v>
      </c>
      <c r="G57" s="5">
        <v>12700</v>
      </c>
      <c r="H57" t="s">
        <v>35</v>
      </c>
      <c r="I57" t="e">
        <f>VLOOKUP(#REF!,Normalize.db!H:I,2,FALSE)</f>
        <v>#REF!</v>
      </c>
      <c r="J57" t="s">
        <v>49</v>
      </c>
      <c r="K57" t="s">
        <v>439</v>
      </c>
      <c r="L57" t="e">
        <f>VLOOKUP(#REF!,Normalize.db!B:C,2,FALSE)</f>
        <v>#REF!</v>
      </c>
    </row>
    <row r="58" spans="1:12" x14ac:dyDescent="0.25">
      <c r="A58">
        <v>62</v>
      </c>
      <c r="B58" t="s">
        <v>440</v>
      </c>
      <c r="C58" t="s">
        <v>441</v>
      </c>
      <c r="D58" t="s">
        <v>54</v>
      </c>
      <c r="E58" t="s">
        <v>55</v>
      </c>
      <c r="F58" t="s">
        <v>442</v>
      </c>
      <c r="G58" s="5">
        <v>29800</v>
      </c>
      <c r="H58" t="s">
        <v>58</v>
      </c>
      <c r="I58" t="e">
        <f>VLOOKUP(#REF!,Normalize.db!H:I,2,FALSE)</f>
        <v>#REF!</v>
      </c>
      <c r="J58" t="s">
        <v>321</v>
      </c>
      <c r="K58" t="s">
        <v>444</v>
      </c>
      <c r="L58" t="e">
        <f>VLOOKUP(#REF!,Normalize.db!B:C,2,FALSE)</f>
        <v>#REF!</v>
      </c>
    </row>
    <row r="59" spans="1:12" x14ac:dyDescent="0.25">
      <c r="A59">
        <v>63</v>
      </c>
      <c r="B59" t="s">
        <v>445</v>
      </c>
      <c r="C59" t="s">
        <v>446</v>
      </c>
      <c r="D59" t="s">
        <v>186</v>
      </c>
      <c r="E59" t="s">
        <v>32</v>
      </c>
      <c r="F59" t="s">
        <v>447</v>
      </c>
      <c r="G59" s="5">
        <v>7500</v>
      </c>
      <c r="H59" t="s">
        <v>89</v>
      </c>
      <c r="I59" t="e">
        <f>VLOOKUP(#REF!,Normalize.db!H:I,2,FALSE)</f>
        <v>#REF!</v>
      </c>
      <c r="J59" t="s">
        <v>216</v>
      </c>
      <c r="K59" t="s">
        <v>449</v>
      </c>
      <c r="L59" t="e">
        <f>VLOOKUP(#REF!,Normalize.db!B:C,2,FALSE)</f>
        <v>#REF!</v>
      </c>
    </row>
    <row r="60" spans="1:12" x14ac:dyDescent="0.25">
      <c r="A60">
        <v>64</v>
      </c>
      <c r="B60" t="s">
        <v>450</v>
      </c>
      <c r="C60" t="s">
        <v>451</v>
      </c>
      <c r="D60" t="s">
        <v>152</v>
      </c>
      <c r="E60" t="s">
        <v>222</v>
      </c>
      <c r="F60" t="s">
        <v>452</v>
      </c>
      <c r="G60" s="5">
        <v>1950</v>
      </c>
      <c r="H60" t="s">
        <v>35</v>
      </c>
      <c r="I60" t="e">
        <f>VLOOKUP(#REF!,Normalize.db!H:I,2,FALSE)</f>
        <v>#REF!</v>
      </c>
      <c r="J60" t="s">
        <v>257</v>
      </c>
      <c r="K60" t="s">
        <v>454</v>
      </c>
      <c r="L60" t="e">
        <f>VLOOKUP(#REF!,Normalize.db!B:C,2,FALSE)</f>
        <v>#REF!</v>
      </c>
    </row>
    <row r="61" spans="1:12" x14ac:dyDescent="0.25">
      <c r="A61">
        <v>65</v>
      </c>
      <c r="B61" t="s">
        <v>455</v>
      </c>
      <c r="C61" t="s">
        <v>456</v>
      </c>
      <c r="D61" t="s">
        <v>162</v>
      </c>
      <c r="E61" t="s">
        <v>43</v>
      </c>
      <c r="F61" t="s">
        <v>144</v>
      </c>
      <c r="G61" s="5">
        <v>8800</v>
      </c>
      <c r="H61" t="s">
        <v>155</v>
      </c>
      <c r="I61" t="e">
        <f>VLOOKUP(#REF!,Normalize.db!H:I,2,FALSE)</f>
        <v>#REF!</v>
      </c>
      <c r="J61" t="s">
        <v>458</v>
      </c>
      <c r="K61" t="s">
        <v>459</v>
      </c>
      <c r="L61" t="e">
        <f>VLOOKUP(#REF!,Normalize.db!B:C,2,FALSE)</f>
        <v>#REF!</v>
      </c>
    </row>
    <row r="62" spans="1:12" x14ac:dyDescent="0.25">
      <c r="A62">
        <v>66</v>
      </c>
      <c r="B62" t="s">
        <v>460</v>
      </c>
      <c r="C62" t="s">
        <v>461</v>
      </c>
      <c r="D62" t="s">
        <v>253</v>
      </c>
      <c r="E62" t="s">
        <v>32</v>
      </c>
      <c r="F62" t="s">
        <v>462</v>
      </c>
      <c r="G62" s="5">
        <v>600</v>
      </c>
      <c r="H62" t="s">
        <v>22</v>
      </c>
      <c r="I62" t="e">
        <f>VLOOKUP(#REF!,Normalize.db!H:I,2,FALSE)</f>
        <v>#REF!</v>
      </c>
      <c r="J62" t="s">
        <v>49</v>
      </c>
      <c r="K62" t="s">
        <v>464</v>
      </c>
      <c r="L62" t="e">
        <f>VLOOKUP(#REF!,Normalize.db!B:C,2,FALSE)</f>
        <v>#REF!</v>
      </c>
    </row>
    <row r="63" spans="1:12" x14ac:dyDescent="0.25">
      <c r="A63">
        <v>67</v>
      </c>
      <c r="B63" t="s">
        <v>16</v>
      </c>
      <c r="C63" t="s">
        <v>465</v>
      </c>
      <c r="D63" t="s">
        <v>270</v>
      </c>
      <c r="E63" t="s">
        <v>19</v>
      </c>
      <c r="F63" t="s">
        <v>466</v>
      </c>
      <c r="G63" s="5">
        <v>16200</v>
      </c>
      <c r="H63" t="s">
        <v>68</v>
      </c>
      <c r="I63" t="e">
        <f>VLOOKUP(#REF!,Normalize.db!H:I,2,FALSE)</f>
        <v>#REF!</v>
      </c>
      <c r="J63" t="s">
        <v>468</v>
      </c>
      <c r="K63" t="s">
        <v>469</v>
      </c>
      <c r="L63" t="e">
        <f>VLOOKUP(#REF!,Normalize.db!B:C,2,FALSE)</f>
        <v>#REF!</v>
      </c>
    </row>
    <row r="64" spans="1:12" x14ac:dyDescent="0.25">
      <c r="A64">
        <v>68</v>
      </c>
      <c r="B64" t="s">
        <v>470</v>
      </c>
      <c r="C64" t="s">
        <v>471</v>
      </c>
      <c r="D64" t="s">
        <v>171</v>
      </c>
      <c r="E64" t="s">
        <v>55</v>
      </c>
      <c r="F64" t="s">
        <v>472</v>
      </c>
      <c r="G64" s="5">
        <v>36000</v>
      </c>
      <c r="H64" t="s">
        <v>46</v>
      </c>
      <c r="I64" t="e">
        <f>VLOOKUP(#REF!,Normalize.db!H:I,2,FALSE)</f>
        <v>#REF!</v>
      </c>
      <c r="J64" t="s">
        <v>190</v>
      </c>
      <c r="K64" t="s">
        <v>474</v>
      </c>
      <c r="L64" t="e">
        <f>VLOOKUP(#REF!,Normalize.db!B:C,2,FALSE)</f>
        <v>#REF!</v>
      </c>
    </row>
    <row r="65" spans="1:12" x14ac:dyDescent="0.25">
      <c r="A65">
        <v>69</v>
      </c>
      <c r="B65" t="s">
        <v>475</v>
      </c>
      <c r="C65" t="s">
        <v>476</v>
      </c>
      <c r="D65" t="s">
        <v>284</v>
      </c>
      <c r="E65" t="s">
        <v>222</v>
      </c>
      <c r="F65" t="s">
        <v>477</v>
      </c>
      <c r="G65" s="5">
        <v>0</v>
      </c>
      <c r="H65" t="s">
        <v>35</v>
      </c>
      <c r="I65" t="e">
        <f>VLOOKUP(#REF!,Normalize.db!H:I,2,FALSE)</f>
        <v>#REF!</v>
      </c>
      <c r="J65" t="s">
        <v>328</v>
      </c>
      <c r="K65" t="s">
        <v>479</v>
      </c>
      <c r="L65" t="e">
        <f>VLOOKUP(#REF!,Normalize.db!B:C,2,FALSE)</f>
        <v>#REF!</v>
      </c>
    </row>
    <row r="66" spans="1:12" x14ac:dyDescent="0.25">
      <c r="A66">
        <v>70</v>
      </c>
      <c r="B66" t="s">
        <v>16</v>
      </c>
      <c r="C66" t="s">
        <v>480</v>
      </c>
      <c r="D66" t="s">
        <v>193</v>
      </c>
      <c r="E66" t="s">
        <v>32</v>
      </c>
      <c r="F66" t="s">
        <v>481</v>
      </c>
      <c r="G66" s="5">
        <v>5300</v>
      </c>
      <c r="H66" t="s">
        <v>108</v>
      </c>
      <c r="I66" t="e">
        <f>VLOOKUP(#REF!,Normalize.db!H:I,2,FALSE)</f>
        <v>#REF!</v>
      </c>
      <c r="J66" t="s">
        <v>468</v>
      </c>
      <c r="K66" t="s">
        <v>483</v>
      </c>
      <c r="L66" t="e">
        <f>VLOOKUP(#REF!,Normalize.db!B:C,2,FALSE)</f>
        <v>#REF!</v>
      </c>
    </row>
    <row r="67" spans="1:12" x14ac:dyDescent="0.25">
      <c r="A67">
        <v>71</v>
      </c>
      <c r="B67" t="s">
        <v>418</v>
      </c>
      <c r="C67" t="s">
        <v>484</v>
      </c>
      <c r="D67" t="s">
        <v>261</v>
      </c>
      <c r="E67" t="s">
        <v>32</v>
      </c>
      <c r="F67" t="s">
        <v>485</v>
      </c>
      <c r="G67" s="5">
        <v>5872</v>
      </c>
      <c r="H67" t="s">
        <v>22</v>
      </c>
      <c r="I67" t="e">
        <f>VLOOKUP(#REF!,Normalize.db!H:I,2,FALSE)</f>
        <v>#REF!</v>
      </c>
      <c r="J67" t="s">
        <v>121</v>
      </c>
      <c r="K67" t="s">
        <v>488</v>
      </c>
      <c r="L67" t="e">
        <f>VLOOKUP(#REF!,Normalize.db!B:C,2,FALSE)</f>
        <v>#REF!</v>
      </c>
    </row>
    <row r="68" spans="1:12" x14ac:dyDescent="0.25">
      <c r="A68">
        <v>72</v>
      </c>
      <c r="B68" t="s">
        <v>489</v>
      </c>
      <c r="C68" t="s">
        <v>490</v>
      </c>
      <c r="D68" t="s">
        <v>491</v>
      </c>
      <c r="E68" t="s">
        <v>43</v>
      </c>
      <c r="F68" t="s">
        <v>492</v>
      </c>
      <c r="G68" s="5">
        <v>13300</v>
      </c>
      <c r="H68" t="s">
        <v>89</v>
      </c>
      <c r="I68" t="e">
        <f>VLOOKUP(#REF!,Normalize.db!H:I,2,FALSE)</f>
        <v>#REF!</v>
      </c>
      <c r="J68" t="s">
        <v>138</v>
      </c>
      <c r="K68" t="s">
        <v>494</v>
      </c>
      <c r="L68" t="e">
        <f>VLOOKUP(#REF!,Normalize.db!B:C,2,FALSE)</f>
        <v>#REF!</v>
      </c>
    </row>
    <row r="69" spans="1:12" x14ac:dyDescent="0.25">
      <c r="A69">
        <v>73</v>
      </c>
      <c r="B69" t="s">
        <v>495</v>
      </c>
      <c r="C69" t="s">
        <v>496</v>
      </c>
      <c r="D69" t="s">
        <v>143</v>
      </c>
      <c r="E69" t="s">
        <v>19</v>
      </c>
      <c r="F69" t="s">
        <v>497</v>
      </c>
      <c r="G69" s="5">
        <v>20100</v>
      </c>
      <c r="H69" t="s">
        <v>35</v>
      </c>
      <c r="I69" t="e">
        <f>VLOOKUP(#REF!,Normalize.db!H:I,2,FALSE)</f>
        <v>#REF!</v>
      </c>
      <c r="J69" t="s">
        <v>92</v>
      </c>
      <c r="K69" t="s">
        <v>132</v>
      </c>
      <c r="L69" t="e">
        <f>VLOOKUP(#REF!,Normalize.db!B:C,2,FALSE)</f>
        <v>#REF!</v>
      </c>
    </row>
    <row r="70" spans="1:12" x14ac:dyDescent="0.25">
      <c r="A70">
        <v>74</v>
      </c>
      <c r="B70" t="s">
        <v>499</v>
      </c>
      <c r="C70" t="s">
        <v>500</v>
      </c>
      <c r="D70" t="s">
        <v>117</v>
      </c>
      <c r="E70" t="s">
        <v>32</v>
      </c>
      <c r="F70" t="s">
        <v>501</v>
      </c>
      <c r="G70" s="5">
        <v>0</v>
      </c>
      <c r="H70" t="s">
        <v>129</v>
      </c>
      <c r="I70" t="e">
        <f>VLOOKUP(#REF!,Normalize.db!H:I,2,FALSE)</f>
        <v>#REF!</v>
      </c>
      <c r="J70" t="s">
        <v>190</v>
      </c>
      <c r="K70" t="s">
        <v>503</v>
      </c>
      <c r="L70" t="e">
        <f>VLOOKUP(#REF!,Normalize.db!B:C,2,FALSE)</f>
        <v>#REF!</v>
      </c>
    </row>
    <row r="71" spans="1:12" x14ac:dyDescent="0.25">
      <c r="A71">
        <v>75</v>
      </c>
      <c r="B71" t="s">
        <v>504</v>
      </c>
      <c r="C71" t="s">
        <v>505</v>
      </c>
      <c r="D71" t="s">
        <v>65</v>
      </c>
      <c r="E71" t="s">
        <v>222</v>
      </c>
      <c r="F71" t="s">
        <v>506</v>
      </c>
      <c r="G71" s="5">
        <v>2900</v>
      </c>
      <c r="H71" t="s">
        <v>35</v>
      </c>
      <c r="I71" t="e">
        <f>VLOOKUP(#REF!,Normalize.db!H:I,2,FALSE)</f>
        <v>#REF!</v>
      </c>
      <c r="J71" t="s">
        <v>49</v>
      </c>
      <c r="K71" t="s">
        <v>148</v>
      </c>
      <c r="L71" t="e">
        <f>VLOOKUP(#REF!,Normalize.db!B:C,2,FALSE)</f>
        <v>#REF!</v>
      </c>
    </row>
    <row r="72" spans="1:12" x14ac:dyDescent="0.25">
      <c r="A72">
        <v>76</v>
      </c>
      <c r="B72" t="s">
        <v>508</v>
      </c>
      <c r="C72" t="s">
        <v>509</v>
      </c>
      <c r="D72" t="s">
        <v>96</v>
      </c>
      <c r="E72" t="s">
        <v>43</v>
      </c>
      <c r="F72" t="s">
        <v>510</v>
      </c>
      <c r="G72" s="5">
        <v>13100</v>
      </c>
      <c r="H72" t="s">
        <v>58</v>
      </c>
      <c r="I72" t="e">
        <f>VLOOKUP(#REF!,Normalize.db!H:I,2,FALSE)</f>
        <v>#REF!</v>
      </c>
      <c r="J72" t="s">
        <v>314</v>
      </c>
      <c r="K72" t="s">
        <v>157</v>
      </c>
      <c r="L72" t="e">
        <f>VLOOKUP(#REF!,Normalize.db!B:C,2,FALSE)</f>
        <v>#REF!</v>
      </c>
    </row>
    <row r="73" spans="1:12" x14ac:dyDescent="0.25">
      <c r="A73">
        <v>77</v>
      </c>
      <c r="B73" t="s">
        <v>512</v>
      </c>
      <c r="C73" t="s">
        <v>513</v>
      </c>
      <c r="D73" t="s">
        <v>31</v>
      </c>
      <c r="E73" t="s">
        <v>222</v>
      </c>
      <c r="F73" t="s">
        <v>514</v>
      </c>
      <c r="G73" s="5">
        <v>1100</v>
      </c>
      <c r="H73" t="s">
        <v>155</v>
      </c>
      <c r="I73" t="e">
        <f>VLOOKUP(#REF!,Normalize.db!H:I,2,FALSE)</f>
        <v>#REF!</v>
      </c>
      <c r="J73" t="s">
        <v>49</v>
      </c>
      <c r="K73" t="s">
        <v>517</v>
      </c>
      <c r="L73" t="e">
        <f>VLOOKUP(#REF!,Normalize.db!B:C,2,FALSE)</f>
        <v>#REF!</v>
      </c>
    </row>
    <row r="74" spans="1:12" x14ac:dyDescent="0.25">
      <c r="A74">
        <v>78</v>
      </c>
      <c r="B74" t="s">
        <v>518</v>
      </c>
      <c r="C74" t="s">
        <v>519</v>
      </c>
      <c r="D74" t="s">
        <v>520</v>
      </c>
      <c r="E74" t="s">
        <v>19</v>
      </c>
      <c r="F74" t="s">
        <v>521</v>
      </c>
      <c r="G74" s="5">
        <v>22500</v>
      </c>
      <c r="H74" t="s">
        <v>22</v>
      </c>
      <c r="I74" t="e">
        <f>VLOOKUP(#REF!,Normalize.db!H:I,2,FALSE)</f>
        <v>#REF!</v>
      </c>
      <c r="J74" t="s">
        <v>257</v>
      </c>
      <c r="K74" t="s">
        <v>174</v>
      </c>
      <c r="L74" t="e">
        <f>VLOOKUP(#REF!,Normalize.db!B:C,2,FALSE)</f>
        <v>#REF!</v>
      </c>
    </row>
    <row r="75" spans="1:12" x14ac:dyDescent="0.25">
      <c r="A75">
        <v>79</v>
      </c>
      <c r="B75" t="s">
        <v>523</v>
      </c>
      <c r="C75" t="s">
        <v>524</v>
      </c>
      <c r="D75" t="s">
        <v>221</v>
      </c>
      <c r="E75" t="s">
        <v>525</v>
      </c>
      <c r="F75" t="s">
        <v>194</v>
      </c>
      <c r="G75" s="5">
        <v>0</v>
      </c>
      <c r="H75" t="s">
        <v>35</v>
      </c>
      <c r="I75" t="e">
        <f>VLOOKUP(#REF!,Normalize.db!H:I,2,FALSE)</f>
        <v>#REF!</v>
      </c>
      <c r="J75" t="s">
        <v>71</v>
      </c>
      <c r="K75" t="s">
        <v>182</v>
      </c>
      <c r="L75" t="e">
        <f>VLOOKUP(#REF!,Normalize.db!B:C,2,FALSE)</f>
        <v>#REF!</v>
      </c>
    </row>
    <row r="76" spans="1:12" x14ac:dyDescent="0.25">
      <c r="A76">
        <v>80</v>
      </c>
      <c r="B76" t="s">
        <v>527</v>
      </c>
      <c r="C76" t="s">
        <v>528</v>
      </c>
      <c r="D76" t="s">
        <v>212</v>
      </c>
      <c r="E76" t="s">
        <v>55</v>
      </c>
      <c r="F76" t="s">
        <v>529</v>
      </c>
      <c r="G76" s="5">
        <v>44800</v>
      </c>
      <c r="H76" t="s">
        <v>46</v>
      </c>
      <c r="I76" t="e">
        <f>VLOOKUP(#REF!,Normalize.db!H:I,2,FALSE)</f>
        <v>#REF!</v>
      </c>
      <c r="J76" t="s">
        <v>49</v>
      </c>
      <c r="K76" t="s">
        <v>191</v>
      </c>
      <c r="L76" t="e">
        <f>VLOOKUP(#REF!,Normalize.db!B:C,2,FALSE)</f>
        <v>#REF!</v>
      </c>
    </row>
    <row r="77" spans="1:12" x14ac:dyDescent="0.25">
      <c r="A77">
        <v>81</v>
      </c>
      <c r="B77" t="s">
        <v>16</v>
      </c>
      <c r="C77" t="s">
        <v>531</v>
      </c>
      <c r="D77" t="s">
        <v>42</v>
      </c>
      <c r="E77" t="s">
        <v>32</v>
      </c>
      <c r="F77" t="s">
        <v>532</v>
      </c>
      <c r="G77" s="5">
        <v>6700</v>
      </c>
      <c r="H77" t="s">
        <v>68</v>
      </c>
      <c r="I77" t="e">
        <f>VLOOKUP(#REF!,Normalize.db!H:I,2,FALSE)</f>
        <v>#REF!</v>
      </c>
      <c r="J77" t="s">
        <v>49</v>
      </c>
      <c r="K77" t="s">
        <v>199</v>
      </c>
      <c r="L77" t="e">
        <f>VLOOKUP(#REF!,Normalize.db!B:C,2,FALSE)</f>
        <v>#REF!</v>
      </c>
    </row>
    <row r="78" spans="1:12" x14ac:dyDescent="0.25">
      <c r="A78">
        <v>82</v>
      </c>
      <c r="B78" t="s">
        <v>534</v>
      </c>
      <c r="C78" t="s">
        <v>535</v>
      </c>
      <c r="D78" t="s">
        <v>203</v>
      </c>
      <c r="E78" t="s">
        <v>43</v>
      </c>
      <c r="F78" t="s">
        <v>536</v>
      </c>
      <c r="G78" s="5">
        <v>4200</v>
      </c>
      <c r="H78" t="s">
        <v>58</v>
      </c>
      <c r="I78" t="e">
        <f>VLOOKUP(#REF!,Normalize.db!H:I,2,FALSE)</f>
        <v>#REF!</v>
      </c>
      <c r="J78" t="s">
        <v>350</v>
      </c>
      <c r="K78" t="s">
        <v>209</v>
      </c>
      <c r="L78" t="e">
        <f>VLOOKUP(#REF!,Normalize.db!B:C,2,FALSE)</f>
        <v>#REF!</v>
      </c>
    </row>
    <row r="79" spans="1:12" x14ac:dyDescent="0.25">
      <c r="A79">
        <v>83</v>
      </c>
      <c r="B79" t="s">
        <v>538</v>
      </c>
      <c r="C79" t="s">
        <v>539</v>
      </c>
      <c r="D79" t="s">
        <v>311</v>
      </c>
      <c r="E79" t="s">
        <v>222</v>
      </c>
      <c r="F79" t="s">
        <v>262</v>
      </c>
      <c r="G79" s="5">
        <v>1250</v>
      </c>
      <c r="H79" t="s">
        <v>89</v>
      </c>
      <c r="I79" t="e">
        <f>VLOOKUP(#REF!,Normalize.db!H:I,2,FALSE)</f>
        <v>#REF!</v>
      </c>
      <c r="J79" t="s">
        <v>121</v>
      </c>
      <c r="K79" t="s">
        <v>217</v>
      </c>
      <c r="L79" t="e">
        <f>VLOOKUP(#REF!,Normalize.db!B:C,2,FALSE)</f>
        <v>#REF!</v>
      </c>
    </row>
    <row r="80" spans="1:12" x14ac:dyDescent="0.25">
      <c r="A80">
        <v>84</v>
      </c>
      <c r="B80" t="s">
        <v>16</v>
      </c>
      <c r="C80" t="s">
        <v>541</v>
      </c>
      <c r="D80" t="s">
        <v>277</v>
      </c>
      <c r="E80" t="s">
        <v>19</v>
      </c>
      <c r="F80" t="s">
        <v>542</v>
      </c>
      <c r="G80" s="5">
        <v>18600</v>
      </c>
      <c r="H80" t="s">
        <v>35</v>
      </c>
      <c r="I80" t="e">
        <f>VLOOKUP(#REF!,Normalize.db!H:I,2,FALSE)</f>
        <v>#REF!</v>
      </c>
      <c r="J80" t="s">
        <v>350</v>
      </c>
      <c r="K80" t="s">
        <v>226</v>
      </c>
      <c r="L80" t="e">
        <f>VLOOKUP(#REF!,Normalize.db!B:C,2,FALSE)</f>
        <v>#REF!</v>
      </c>
    </row>
    <row r="81" spans="1:12" x14ac:dyDescent="0.25">
      <c r="A81">
        <v>85</v>
      </c>
      <c r="B81" t="s">
        <v>544</v>
      </c>
      <c r="C81" t="s">
        <v>545</v>
      </c>
      <c r="D81" t="s">
        <v>134</v>
      </c>
      <c r="E81" t="s">
        <v>32</v>
      </c>
      <c r="F81" t="s">
        <v>546</v>
      </c>
      <c r="G81" s="5">
        <v>3000</v>
      </c>
      <c r="H81" t="s">
        <v>35</v>
      </c>
      <c r="I81" t="e">
        <f>VLOOKUP(#REF!,Normalize.db!H:I,2,FALSE)</f>
        <v>#REF!</v>
      </c>
      <c r="J81" t="s">
        <v>548</v>
      </c>
      <c r="K81" t="s">
        <v>233</v>
      </c>
      <c r="L81" t="e">
        <f>VLOOKUP(#REF!,Normalize.db!B:C,2,FALSE)</f>
        <v>#REF!</v>
      </c>
    </row>
    <row r="82" spans="1:12" x14ac:dyDescent="0.25">
      <c r="A82">
        <v>86</v>
      </c>
      <c r="B82" t="s">
        <v>549</v>
      </c>
      <c r="C82" t="s">
        <v>550</v>
      </c>
      <c r="D82" t="s">
        <v>292</v>
      </c>
      <c r="E82" t="s">
        <v>32</v>
      </c>
      <c r="F82" t="s">
        <v>551</v>
      </c>
      <c r="G82" s="5">
        <v>7200</v>
      </c>
      <c r="H82" t="s">
        <v>22</v>
      </c>
      <c r="I82" t="e">
        <f>VLOOKUP(#REF!,Normalize.db!H:I,2,FALSE)</f>
        <v>#REF!</v>
      </c>
      <c r="J82" t="s">
        <v>79</v>
      </c>
      <c r="K82" t="s">
        <v>553</v>
      </c>
      <c r="L82" t="e">
        <f>VLOOKUP(#REF!,Normalize.db!B:C,2,FALSE)</f>
        <v>#REF!</v>
      </c>
    </row>
    <row r="83" spans="1:12" x14ac:dyDescent="0.25">
      <c r="A83">
        <v>87</v>
      </c>
      <c r="B83" t="s">
        <v>554</v>
      </c>
      <c r="C83" t="s">
        <v>555</v>
      </c>
      <c r="D83" t="s">
        <v>246</v>
      </c>
      <c r="E83" t="s">
        <v>43</v>
      </c>
      <c r="F83" t="s">
        <v>556</v>
      </c>
      <c r="G83" s="5">
        <v>21400</v>
      </c>
      <c r="H83" t="s">
        <v>68</v>
      </c>
      <c r="I83" t="e">
        <f>VLOOKUP(#REF!,Normalize.db!H:I,2,FALSE)</f>
        <v>#REF!</v>
      </c>
      <c r="J83" t="s">
        <v>71</v>
      </c>
      <c r="K83" t="s">
        <v>557</v>
      </c>
      <c r="L83" t="e">
        <f>VLOOKUP(#REF!,Normalize.db!B:C,2,FALSE)</f>
        <v>#REF!</v>
      </c>
    </row>
    <row r="84" spans="1:12" x14ac:dyDescent="0.25">
      <c r="A84">
        <v>88</v>
      </c>
      <c r="B84" t="s">
        <v>558</v>
      </c>
      <c r="C84" t="s">
        <v>559</v>
      </c>
      <c r="D84" t="s">
        <v>54</v>
      </c>
      <c r="E84" t="s">
        <v>19</v>
      </c>
      <c r="F84" t="s">
        <v>560</v>
      </c>
      <c r="G84" s="5">
        <v>26300</v>
      </c>
      <c r="H84" t="s">
        <v>46</v>
      </c>
      <c r="I84" t="e">
        <f>VLOOKUP(#REF!,Normalize.db!H:I,2,FALSE)</f>
        <v>#REF!</v>
      </c>
      <c r="J84" t="s">
        <v>79</v>
      </c>
      <c r="K84" t="s">
        <v>50</v>
      </c>
      <c r="L84" t="e">
        <f>VLOOKUP(#REF!,Normalize.db!B:C,2,FALSE)</f>
        <v>#REF!</v>
      </c>
    </row>
    <row r="85" spans="1:12" x14ac:dyDescent="0.25">
      <c r="A85">
        <v>89</v>
      </c>
      <c r="B85" t="s">
        <v>16</v>
      </c>
      <c r="C85" t="s">
        <v>561</v>
      </c>
      <c r="D85" t="s">
        <v>65</v>
      </c>
      <c r="E85" t="s">
        <v>222</v>
      </c>
      <c r="F85" t="s">
        <v>562</v>
      </c>
      <c r="G85" s="5">
        <v>0</v>
      </c>
      <c r="H85" t="s">
        <v>35</v>
      </c>
      <c r="I85" t="e">
        <f>VLOOKUP(#REF!,Normalize.db!H:I,2,FALSE)</f>
        <v>#REF!</v>
      </c>
      <c r="J85" t="s">
        <v>60</v>
      </c>
      <c r="K85" t="s">
        <v>563</v>
      </c>
      <c r="L85" t="e">
        <f>VLOOKUP(#REF!,Normalize.db!B:C,2,FALSE)</f>
        <v>#REF!</v>
      </c>
    </row>
    <row r="86" spans="1:12" x14ac:dyDescent="0.25">
      <c r="A86">
        <v>90</v>
      </c>
      <c r="B86" t="s">
        <v>564</v>
      </c>
      <c r="C86" t="s">
        <v>565</v>
      </c>
      <c r="D86" t="s">
        <v>212</v>
      </c>
      <c r="E86" t="s">
        <v>55</v>
      </c>
      <c r="F86" t="s">
        <v>566</v>
      </c>
      <c r="G86" s="5">
        <v>42</v>
      </c>
      <c r="H86" t="s">
        <v>58</v>
      </c>
      <c r="I86" t="e">
        <f>VLOOKUP(#REF!,Normalize.db!H:I,2,FALSE)</f>
        <v>#REF!</v>
      </c>
      <c r="J86" t="s">
        <v>49</v>
      </c>
      <c r="K86" t="s">
        <v>72</v>
      </c>
      <c r="L86" t="e">
        <f>VLOOKUP(#REF!,Normalize.db!B:C,2,FALSE)</f>
        <v>#REF!</v>
      </c>
    </row>
    <row r="87" spans="1:12" x14ac:dyDescent="0.25">
      <c r="A87">
        <v>91</v>
      </c>
      <c r="B87" t="s">
        <v>567</v>
      </c>
      <c r="C87" t="s">
        <v>568</v>
      </c>
      <c r="D87" t="s">
        <v>18</v>
      </c>
      <c r="E87" t="s">
        <v>43</v>
      </c>
      <c r="F87" t="s">
        <v>569</v>
      </c>
      <c r="G87" s="5">
        <v>17500</v>
      </c>
      <c r="H87" t="s">
        <v>108</v>
      </c>
      <c r="I87" t="e">
        <f>VLOOKUP(#REF!,Normalize.db!H:I,2,FALSE)</f>
        <v>#REF!</v>
      </c>
      <c r="J87" t="s">
        <v>37</v>
      </c>
      <c r="K87" t="s">
        <v>329</v>
      </c>
      <c r="L87" t="e">
        <f>VLOOKUP(#REF!,Normalize.db!B:C,2,FALSE)</f>
        <v>#REF!</v>
      </c>
    </row>
    <row r="88" spans="1:12" x14ac:dyDescent="0.25">
      <c r="A88">
        <v>92</v>
      </c>
      <c r="B88" t="s">
        <v>571</v>
      </c>
      <c r="C88" t="s">
        <v>572</v>
      </c>
      <c r="D88" t="s">
        <v>31</v>
      </c>
      <c r="E88" t="s">
        <v>525</v>
      </c>
      <c r="F88" t="s">
        <v>573</v>
      </c>
      <c r="G88" s="5">
        <v>900</v>
      </c>
      <c r="H88" t="s">
        <v>35</v>
      </c>
      <c r="I88" t="e">
        <f>VLOOKUP(#REF!,Normalize.db!H:I,2,FALSE)</f>
        <v>#REF!</v>
      </c>
      <c r="J88" t="s">
        <v>25</v>
      </c>
      <c r="K88" t="s">
        <v>574</v>
      </c>
      <c r="L88" t="e">
        <f>VLOOKUP(#REF!,Normalize.db!B:C,2,FALSE)</f>
        <v>#REF!</v>
      </c>
    </row>
    <row r="89" spans="1:12" x14ac:dyDescent="0.25">
      <c r="A89">
        <v>93</v>
      </c>
      <c r="B89" t="s">
        <v>16</v>
      </c>
      <c r="C89" t="s">
        <v>575</v>
      </c>
      <c r="D89" t="s">
        <v>42</v>
      </c>
      <c r="E89" t="s">
        <v>32</v>
      </c>
      <c r="F89" t="s">
        <v>576</v>
      </c>
      <c r="G89" s="5">
        <v>5530</v>
      </c>
      <c r="H89" t="s">
        <v>35</v>
      </c>
      <c r="I89" t="e">
        <f>VLOOKUP(#REF!,Normalize.db!H:I,2,FALSE)</f>
        <v>#REF!</v>
      </c>
      <c r="J89" t="s">
        <v>121</v>
      </c>
      <c r="K89" t="s">
        <v>340</v>
      </c>
      <c r="L89" t="e">
        <f>VLOOKUP(#REF!,Normalize.db!B:C,2,FALSE)</f>
        <v>#REF!</v>
      </c>
    </row>
    <row r="90" spans="1:12" x14ac:dyDescent="0.25">
      <c r="A90">
        <v>94</v>
      </c>
      <c r="B90" t="s">
        <v>16</v>
      </c>
      <c r="C90" t="s">
        <v>577</v>
      </c>
      <c r="D90" t="s">
        <v>221</v>
      </c>
      <c r="E90" t="s">
        <v>525</v>
      </c>
      <c r="F90" t="s">
        <v>578</v>
      </c>
      <c r="G90" s="5">
        <v>0</v>
      </c>
      <c r="H90" t="s">
        <v>46</v>
      </c>
      <c r="I90" t="e">
        <f>VLOOKUP(#REF!,Normalize.db!H:I,2,FALSE)</f>
        <v>#REF!</v>
      </c>
      <c r="J90" t="s">
        <v>111</v>
      </c>
      <c r="K90" t="s">
        <v>345</v>
      </c>
      <c r="L90" t="e">
        <f>VLOOKUP(#REF!,Normalize.db!B:C,2,FALSE)</f>
        <v>#REF!</v>
      </c>
    </row>
    <row r="91" spans="1:12" x14ac:dyDescent="0.25">
      <c r="A91">
        <v>95</v>
      </c>
      <c r="B91" t="s">
        <v>579</v>
      </c>
      <c r="C91" t="s">
        <v>580</v>
      </c>
      <c r="D91" t="s">
        <v>126</v>
      </c>
      <c r="E91" t="s">
        <v>222</v>
      </c>
      <c r="F91" t="s">
        <v>177</v>
      </c>
      <c r="G91" s="5">
        <v>0</v>
      </c>
      <c r="H91" t="s">
        <v>129</v>
      </c>
      <c r="I91" t="e">
        <f>VLOOKUP(#REF!,Normalize.db!H:I,2,FALSE)</f>
        <v>#REF!</v>
      </c>
      <c r="J91" t="s">
        <v>49</v>
      </c>
      <c r="K91" t="s">
        <v>351</v>
      </c>
      <c r="L91" t="e">
        <f>VLOOKUP(#REF!,Normalize.db!B:C,2,FALSE)</f>
        <v>#REF!</v>
      </c>
    </row>
    <row r="92" spans="1:12" x14ac:dyDescent="0.25">
      <c r="A92">
        <v>96</v>
      </c>
      <c r="B92" t="s">
        <v>581</v>
      </c>
      <c r="C92" t="s">
        <v>582</v>
      </c>
      <c r="D92" t="s">
        <v>318</v>
      </c>
      <c r="E92" t="s">
        <v>32</v>
      </c>
      <c r="F92" t="s">
        <v>583</v>
      </c>
      <c r="G92" s="5">
        <v>13400</v>
      </c>
      <c r="H92" t="s">
        <v>22</v>
      </c>
      <c r="I92" t="e">
        <f>VLOOKUP(#REF!,Normalize.db!H:I,2,FALSE)</f>
        <v>#REF!</v>
      </c>
      <c r="J92" t="s">
        <v>71</v>
      </c>
      <c r="K92" t="s">
        <v>358</v>
      </c>
      <c r="L92" t="e">
        <f>VLOOKUP(#REF!,Normalize.db!B:C,2,FALSE)</f>
        <v>#REF!</v>
      </c>
    </row>
    <row r="93" spans="1:12" x14ac:dyDescent="0.25">
      <c r="A93">
        <v>97</v>
      </c>
      <c r="B93" t="s">
        <v>16</v>
      </c>
      <c r="C93" t="s">
        <v>586</v>
      </c>
      <c r="D93" t="s">
        <v>134</v>
      </c>
      <c r="E93" t="s">
        <v>525</v>
      </c>
      <c r="F93" t="s">
        <v>587</v>
      </c>
      <c r="G93" s="5">
        <v>1700</v>
      </c>
      <c r="H93" t="s">
        <v>35</v>
      </c>
      <c r="I93" t="e">
        <f>VLOOKUP(#REF!,Normalize.db!H:I,2,FALSE)</f>
        <v>#REF!</v>
      </c>
      <c r="J93" t="s">
        <v>138</v>
      </c>
      <c r="K93" t="s">
        <v>363</v>
      </c>
      <c r="L93" t="e">
        <f>VLOOKUP(#REF!,Normalize.db!B:C,2,FALSE)</f>
        <v>#REF!</v>
      </c>
    </row>
    <row r="94" spans="1:12" x14ac:dyDescent="0.25">
      <c r="A94">
        <v>98</v>
      </c>
      <c r="B94" t="s">
        <v>588</v>
      </c>
      <c r="C94" t="s">
        <v>589</v>
      </c>
      <c r="D94" t="s">
        <v>96</v>
      </c>
      <c r="E94" t="s">
        <v>43</v>
      </c>
      <c r="F94" t="s">
        <v>501</v>
      </c>
      <c r="G94" s="5">
        <v>14000</v>
      </c>
      <c r="H94" t="s">
        <v>89</v>
      </c>
      <c r="I94" t="e">
        <f>VLOOKUP(#REF!,Normalize.db!H:I,2,FALSE)</f>
        <v>#REF!</v>
      </c>
      <c r="J94" t="s">
        <v>190</v>
      </c>
      <c r="K94" t="s">
        <v>368</v>
      </c>
      <c r="L94" t="e">
        <f>VLOOKUP(#REF!,Normalize.db!B:C,2,FALSE)</f>
        <v>#REF!</v>
      </c>
    </row>
    <row r="95" spans="1:12" x14ac:dyDescent="0.25">
      <c r="A95">
        <v>99</v>
      </c>
      <c r="B95" t="s">
        <v>590</v>
      </c>
      <c r="C95" t="s">
        <v>591</v>
      </c>
      <c r="D95" t="s">
        <v>277</v>
      </c>
      <c r="E95" t="s">
        <v>19</v>
      </c>
      <c r="F95" t="s">
        <v>592</v>
      </c>
      <c r="G95" s="5">
        <v>20750</v>
      </c>
      <c r="H95" t="s">
        <v>58</v>
      </c>
      <c r="I95" t="e">
        <f>VLOOKUP(#REF!,Normalize.db!H:I,2,FALSE)</f>
        <v>#REF!</v>
      </c>
      <c r="J95" t="s">
        <v>121</v>
      </c>
      <c r="K95" t="s">
        <v>373</v>
      </c>
      <c r="L95" t="e">
        <f>VLOOKUP(#REF!,Normalize.db!B:C,2,FALSE)</f>
        <v>#REF!</v>
      </c>
    </row>
    <row r="96" spans="1:12" x14ac:dyDescent="0.25">
      <c r="A96">
        <v>100</v>
      </c>
      <c r="B96" t="s">
        <v>593</v>
      </c>
      <c r="C96" t="s">
        <v>375</v>
      </c>
      <c r="D96" t="s">
        <v>238</v>
      </c>
      <c r="E96" t="s">
        <v>222</v>
      </c>
      <c r="F96" t="s">
        <v>594</v>
      </c>
      <c r="G96" s="5">
        <v>5200</v>
      </c>
      <c r="H96" t="s">
        <v>155</v>
      </c>
      <c r="I96" t="e">
        <f>VLOOKUP(#REF!,Normalize.db!H:I,2,FALSE)</f>
        <v>#REF!</v>
      </c>
      <c r="J96" t="s">
        <v>167</v>
      </c>
      <c r="K96" t="s">
        <v>377</v>
      </c>
      <c r="L96" t="e">
        <f>VLOOKUP(#REF!,Normalize.db!B:C,2,FALSE)</f>
        <v>#REF!</v>
      </c>
    </row>
    <row r="97" spans="1:12" x14ac:dyDescent="0.25">
      <c r="A97">
        <v>101</v>
      </c>
      <c r="B97" t="s">
        <v>595</v>
      </c>
      <c r="C97" t="s">
        <v>379</v>
      </c>
      <c r="D97" t="s">
        <v>105</v>
      </c>
      <c r="E97" t="s">
        <v>55</v>
      </c>
      <c r="F97" t="s">
        <v>596</v>
      </c>
      <c r="G97" s="5">
        <v>29600</v>
      </c>
      <c r="H97" t="s">
        <v>68</v>
      </c>
      <c r="I97" t="e">
        <f>VLOOKUP(#REF!,Normalize.db!H:I,2,FALSE)</f>
        <v>#REF!</v>
      </c>
      <c r="J97" t="s">
        <v>71</v>
      </c>
      <c r="K97" t="s">
        <v>383</v>
      </c>
      <c r="L97" t="e">
        <f>VLOOKUP(#REF!,Normalize.db!B:C,2,FALSE)</f>
        <v>#REF!</v>
      </c>
    </row>
    <row r="98" spans="1:12" x14ac:dyDescent="0.25">
      <c r="A98">
        <v>102</v>
      </c>
      <c r="B98" t="s">
        <v>16</v>
      </c>
      <c r="C98" t="s">
        <v>384</v>
      </c>
      <c r="D98" t="s">
        <v>385</v>
      </c>
      <c r="E98" t="s">
        <v>32</v>
      </c>
      <c r="F98" t="s">
        <v>597</v>
      </c>
      <c r="G98" s="5">
        <v>3100</v>
      </c>
      <c r="H98" t="s">
        <v>46</v>
      </c>
      <c r="I98" t="e">
        <f>VLOOKUP(#REF!,Normalize.db!H:I,2,FALSE)</f>
        <v>#REF!</v>
      </c>
      <c r="J98" t="s">
        <v>71</v>
      </c>
      <c r="K98" t="s">
        <v>388</v>
      </c>
      <c r="L98" t="e">
        <f>VLOOKUP(#REF!,Normalize.db!B:C,2,FALSE)</f>
        <v>#REF!</v>
      </c>
    </row>
    <row r="99" spans="1:12" x14ac:dyDescent="0.25">
      <c r="A99">
        <v>103</v>
      </c>
      <c r="B99" t="s">
        <v>598</v>
      </c>
      <c r="C99" t="s">
        <v>390</v>
      </c>
      <c r="D99" t="s">
        <v>354</v>
      </c>
      <c r="E99" t="s">
        <v>86</v>
      </c>
      <c r="F99" t="s">
        <v>599</v>
      </c>
      <c r="G99" s="5">
        <v>48000</v>
      </c>
      <c r="H99" t="s">
        <v>35</v>
      </c>
      <c r="I99" t="e">
        <f>VLOOKUP(#REF!,Normalize.db!H:I,2,FALSE)</f>
        <v>#REF!</v>
      </c>
      <c r="J99" t="s">
        <v>393</v>
      </c>
      <c r="K99" t="s">
        <v>394</v>
      </c>
      <c r="L99" t="e">
        <f>VLOOKUP(#REF!,Normalize.db!B:C,2,FALSE)</f>
        <v>#REF!</v>
      </c>
    </row>
    <row r="100" spans="1:12" x14ac:dyDescent="0.25">
      <c r="A100">
        <v>104</v>
      </c>
      <c r="B100" t="s">
        <v>600</v>
      </c>
      <c r="C100" t="s">
        <v>396</v>
      </c>
      <c r="D100" t="s">
        <v>152</v>
      </c>
      <c r="E100" t="s">
        <v>222</v>
      </c>
      <c r="F100" t="s">
        <v>601</v>
      </c>
      <c r="G100" s="5">
        <v>3300</v>
      </c>
      <c r="H100" t="s">
        <v>22</v>
      </c>
      <c r="I100" t="e">
        <f>VLOOKUP(#REF!,Normalize.db!H:I,2,FALSE)</f>
        <v>#REF!</v>
      </c>
      <c r="J100" t="s">
        <v>400</v>
      </c>
      <c r="K100" t="s">
        <v>401</v>
      </c>
      <c r="L100" t="e">
        <f>VLOOKUP(#REF!,Normalize.db!B:C,2,FALSE)</f>
        <v>#REF!</v>
      </c>
    </row>
    <row r="101" spans="1:12" x14ac:dyDescent="0.25">
      <c r="A101">
        <v>105</v>
      </c>
      <c r="B101" t="s">
        <v>602</v>
      </c>
      <c r="C101" t="s">
        <v>403</v>
      </c>
      <c r="D101" t="s">
        <v>228</v>
      </c>
      <c r="E101" t="s">
        <v>32</v>
      </c>
      <c r="F101" t="s">
        <v>603</v>
      </c>
      <c r="G101" s="5">
        <v>1050</v>
      </c>
      <c r="H101" t="s">
        <v>89</v>
      </c>
      <c r="I101" t="e">
        <f>VLOOKUP(#REF!,Normalize.db!H:I,2,FALSE)</f>
        <v>#REF!</v>
      </c>
      <c r="J101" t="s">
        <v>407</v>
      </c>
      <c r="K101" t="s">
        <v>408</v>
      </c>
      <c r="L101" t="e">
        <f>VLOOKUP(#REF!,Normalize.db!B:C,2,FALSE)</f>
        <v>#REF!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7B83-52BB-468A-8D8D-398C5D19CF79}">
  <dimension ref="B1:L101"/>
  <sheetViews>
    <sheetView workbookViewId="0">
      <selection activeCell="D20" sqref="D20"/>
    </sheetView>
  </sheetViews>
  <sheetFormatPr defaultRowHeight="15" x14ac:dyDescent="0.25"/>
  <cols>
    <col min="2" max="2" width="17" customWidth="1"/>
    <col min="3" max="3" width="25" customWidth="1"/>
    <col min="5" max="5" width="14" customWidth="1"/>
    <col min="6" max="6" width="16" customWidth="1"/>
    <col min="8" max="8" width="14" customWidth="1"/>
    <col min="9" max="9" width="15" customWidth="1"/>
    <col min="11" max="11" width="16" customWidth="1"/>
    <col min="12" max="12" width="20" customWidth="1"/>
  </cols>
  <sheetData>
    <row r="1" spans="2:12" x14ac:dyDescent="0.25">
      <c r="B1" s="1" t="s">
        <v>13</v>
      </c>
      <c r="C1" s="2" t="s">
        <v>14</v>
      </c>
      <c r="E1" s="1"/>
      <c r="F1" s="2"/>
      <c r="H1" s="1" t="s">
        <v>9</v>
      </c>
      <c r="I1" s="2" t="s">
        <v>10</v>
      </c>
      <c r="K1" s="1" t="s">
        <v>7</v>
      </c>
      <c r="L1" s="2" t="s">
        <v>8</v>
      </c>
    </row>
    <row r="2" spans="2:12" x14ac:dyDescent="0.25">
      <c r="B2" t="s">
        <v>27</v>
      </c>
      <c r="C2" t="s">
        <v>28</v>
      </c>
      <c r="H2" t="s">
        <v>23</v>
      </c>
      <c r="I2" t="s">
        <v>24</v>
      </c>
      <c r="K2" t="s">
        <v>21</v>
      </c>
      <c r="L2" t="s">
        <v>22</v>
      </c>
    </row>
    <row r="3" spans="2:12" x14ac:dyDescent="0.25">
      <c r="B3" t="s">
        <v>39</v>
      </c>
      <c r="C3" t="s">
        <v>28</v>
      </c>
      <c r="H3" t="s">
        <v>36</v>
      </c>
      <c r="I3" t="s">
        <v>36</v>
      </c>
      <c r="K3" t="s">
        <v>34</v>
      </c>
      <c r="L3" t="s">
        <v>35</v>
      </c>
    </row>
    <row r="4" spans="2:12" x14ac:dyDescent="0.25">
      <c r="B4" t="s">
        <v>51</v>
      </c>
      <c r="C4" t="s">
        <v>52</v>
      </c>
      <c r="H4" t="s">
        <v>47</v>
      </c>
      <c r="I4" t="s">
        <v>48</v>
      </c>
      <c r="K4" t="s">
        <v>45</v>
      </c>
      <c r="L4" t="s">
        <v>46</v>
      </c>
    </row>
    <row r="5" spans="2:12" x14ac:dyDescent="0.25">
      <c r="B5" t="s">
        <v>62</v>
      </c>
      <c r="C5" t="s">
        <v>62</v>
      </c>
      <c r="H5" t="s">
        <v>59</v>
      </c>
      <c r="I5" t="s">
        <v>59</v>
      </c>
      <c r="K5" t="s">
        <v>57</v>
      </c>
      <c r="L5" t="s">
        <v>58</v>
      </c>
    </row>
    <row r="6" spans="2:12" x14ac:dyDescent="0.25">
      <c r="B6" t="s">
        <v>73</v>
      </c>
      <c r="C6" t="s">
        <v>28</v>
      </c>
      <c r="H6" t="s">
        <v>69</v>
      </c>
      <c r="I6" t="s">
        <v>70</v>
      </c>
      <c r="K6" t="s">
        <v>67</v>
      </c>
      <c r="L6" t="s">
        <v>68</v>
      </c>
    </row>
    <row r="7" spans="2:12" x14ac:dyDescent="0.25">
      <c r="B7" t="s">
        <v>81</v>
      </c>
      <c r="C7" t="s">
        <v>82</v>
      </c>
      <c r="H7" t="s">
        <v>78</v>
      </c>
      <c r="I7" t="s">
        <v>78</v>
      </c>
      <c r="K7" t="s">
        <v>22</v>
      </c>
      <c r="L7" t="s">
        <v>22</v>
      </c>
    </row>
    <row r="8" spans="2:12" x14ac:dyDescent="0.25">
      <c r="B8" t="s">
        <v>94</v>
      </c>
      <c r="C8" t="s">
        <v>28</v>
      </c>
      <c r="H8" t="s">
        <v>90</v>
      </c>
      <c r="I8" t="s">
        <v>91</v>
      </c>
      <c r="K8" t="s">
        <v>88</v>
      </c>
      <c r="L8" t="s">
        <v>89</v>
      </c>
    </row>
    <row r="9" spans="2:12" x14ac:dyDescent="0.25">
      <c r="B9" t="s">
        <v>101</v>
      </c>
      <c r="C9" t="s">
        <v>102</v>
      </c>
      <c r="H9" t="s">
        <v>99</v>
      </c>
      <c r="I9" t="s">
        <v>99</v>
      </c>
      <c r="K9" t="s">
        <v>98</v>
      </c>
      <c r="L9" t="s">
        <v>35</v>
      </c>
    </row>
    <row r="10" spans="2:12" x14ac:dyDescent="0.25">
      <c r="B10" t="s">
        <v>113</v>
      </c>
      <c r="C10" t="s">
        <v>114</v>
      </c>
      <c r="H10" t="s">
        <v>109</v>
      </c>
      <c r="I10" t="s">
        <v>110</v>
      </c>
      <c r="K10" t="s">
        <v>107</v>
      </c>
      <c r="L10" t="s">
        <v>108</v>
      </c>
    </row>
    <row r="11" spans="2:12" x14ac:dyDescent="0.25">
      <c r="B11" t="s">
        <v>123</v>
      </c>
      <c r="C11" t="s">
        <v>52</v>
      </c>
      <c r="H11" t="s">
        <v>119</v>
      </c>
      <c r="I11" t="s">
        <v>120</v>
      </c>
      <c r="K11" t="s">
        <v>46</v>
      </c>
      <c r="L11" t="s">
        <v>46</v>
      </c>
    </row>
    <row r="12" spans="2:12" x14ac:dyDescent="0.25">
      <c r="B12" t="s">
        <v>27</v>
      </c>
      <c r="C12" t="s">
        <v>28</v>
      </c>
      <c r="H12" t="s">
        <v>130</v>
      </c>
      <c r="I12" t="s">
        <v>131</v>
      </c>
      <c r="K12" t="s">
        <v>128</v>
      </c>
      <c r="L12" t="s">
        <v>129</v>
      </c>
    </row>
    <row r="13" spans="2:12" x14ac:dyDescent="0.25">
      <c r="B13" t="s">
        <v>140</v>
      </c>
      <c r="C13" t="s">
        <v>62</v>
      </c>
      <c r="H13" t="s">
        <v>137</v>
      </c>
      <c r="I13" t="s">
        <v>137</v>
      </c>
      <c r="K13" t="s">
        <v>136</v>
      </c>
      <c r="L13" t="s">
        <v>35</v>
      </c>
    </row>
    <row r="14" spans="2:12" x14ac:dyDescent="0.25">
      <c r="B14" t="s">
        <v>149</v>
      </c>
      <c r="C14" t="s">
        <v>28</v>
      </c>
      <c r="H14" t="s">
        <v>146</v>
      </c>
      <c r="I14" t="s">
        <v>147</v>
      </c>
      <c r="K14" t="s">
        <v>145</v>
      </c>
      <c r="L14" t="s">
        <v>58</v>
      </c>
    </row>
    <row r="15" spans="2:12" x14ac:dyDescent="0.25">
      <c r="B15" t="s">
        <v>158</v>
      </c>
      <c r="C15" t="s">
        <v>159</v>
      </c>
      <c r="H15" t="s">
        <v>156</v>
      </c>
      <c r="I15" t="s">
        <v>156</v>
      </c>
      <c r="K15" t="s">
        <v>154</v>
      </c>
      <c r="L15" t="s">
        <v>155</v>
      </c>
    </row>
    <row r="16" spans="2:12" x14ac:dyDescent="0.25">
      <c r="B16" t="s">
        <v>39</v>
      </c>
      <c r="C16" t="s">
        <v>28</v>
      </c>
      <c r="H16" t="s">
        <v>165</v>
      </c>
      <c r="I16" t="s">
        <v>166</v>
      </c>
      <c r="K16" t="s">
        <v>164</v>
      </c>
      <c r="L16" t="s">
        <v>22</v>
      </c>
    </row>
    <row r="17" spans="2:12" x14ac:dyDescent="0.25">
      <c r="B17" t="s">
        <v>140</v>
      </c>
      <c r="C17" t="s">
        <v>62</v>
      </c>
      <c r="H17" t="s">
        <v>173</v>
      </c>
      <c r="I17" t="s">
        <v>173</v>
      </c>
      <c r="K17" t="s">
        <v>68</v>
      </c>
      <c r="L17" t="s">
        <v>68</v>
      </c>
    </row>
    <row r="18" spans="2:12" x14ac:dyDescent="0.25">
      <c r="B18" t="s">
        <v>183</v>
      </c>
      <c r="C18" t="s">
        <v>52</v>
      </c>
      <c r="H18" t="s">
        <v>179</v>
      </c>
      <c r="I18" t="s">
        <v>180</v>
      </c>
      <c r="K18" t="s">
        <v>178</v>
      </c>
      <c r="L18" t="s">
        <v>46</v>
      </c>
    </row>
    <row r="19" spans="2:12" x14ac:dyDescent="0.25">
      <c r="B19" t="s">
        <v>27</v>
      </c>
      <c r="C19" t="s">
        <v>28</v>
      </c>
      <c r="H19" t="s">
        <v>189</v>
      </c>
      <c r="I19" t="s">
        <v>189</v>
      </c>
      <c r="K19" t="s">
        <v>188</v>
      </c>
      <c r="L19" t="s">
        <v>35</v>
      </c>
    </row>
    <row r="20" spans="2:12" x14ac:dyDescent="0.25">
      <c r="B20" t="s">
        <v>200</v>
      </c>
      <c r="C20" t="s">
        <v>62</v>
      </c>
      <c r="H20" t="s">
        <v>196</v>
      </c>
      <c r="I20" t="s">
        <v>197</v>
      </c>
      <c r="K20" t="s">
        <v>195</v>
      </c>
      <c r="L20" t="s">
        <v>22</v>
      </c>
    </row>
    <row r="21" spans="2:12" x14ac:dyDescent="0.25">
      <c r="B21" t="s">
        <v>28</v>
      </c>
      <c r="C21" t="s">
        <v>28</v>
      </c>
      <c r="H21" t="s">
        <v>206</v>
      </c>
      <c r="I21" t="s">
        <v>207</v>
      </c>
      <c r="K21" t="s">
        <v>205</v>
      </c>
      <c r="L21" t="s">
        <v>89</v>
      </c>
    </row>
    <row r="22" spans="2:12" x14ac:dyDescent="0.25">
      <c r="B22" t="s">
        <v>218</v>
      </c>
      <c r="C22" t="s">
        <v>82</v>
      </c>
      <c r="H22" t="s">
        <v>215</v>
      </c>
      <c r="I22" t="s">
        <v>215</v>
      </c>
      <c r="K22" t="s">
        <v>214</v>
      </c>
      <c r="L22" t="s">
        <v>68</v>
      </c>
    </row>
    <row r="23" spans="2:12" x14ac:dyDescent="0.25">
      <c r="B23" t="s">
        <v>27</v>
      </c>
      <c r="C23" t="s">
        <v>28</v>
      </c>
      <c r="H23" t="s">
        <v>224</v>
      </c>
      <c r="I23" t="s">
        <v>225</v>
      </c>
      <c r="K23" t="s">
        <v>34</v>
      </c>
      <c r="L23" t="s">
        <v>35</v>
      </c>
    </row>
    <row r="24" spans="2:12" x14ac:dyDescent="0.25">
      <c r="B24" t="s">
        <v>234</v>
      </c>
      <c r="C24" t="s">
        <v>235</v>
      </c>
      <c r="H24" t="s">
        <v>231</v>
      </c>
      <c r="I24" t="s">
        <v>231</v>
      </c>
      <c r="K24" t="s">
        <v>230</v>
      </c>
      <c r="L24" t="s">
        <v>58</v>
      </c>
    </row>
    <row r="25" spans="2:12" x14ac:dyDescent="0.25">
      <c r="B25" t="s">
        <v>243</v>
      </c>
      <c r="C25" t="s">
        <v>52</v>
      </c>
      <c r="H25" t="s">
        <v>241</v>
      </c>
      <c r="I25" t="s">
        <v>241</v>
      </c>
      <c r="K25" t="s">
        <v>240</v>
      </c>
      <c r="L25" t="s">
        <v>46</v>
      </c>
    </row>
    <row r="26" spans="2:12" x14ac:dyDescent="0.25">
      <c r="B26" t="s">
        <v>73</v>
      </c>
      <c r="C26" t="s">
        <v>28</v>
      </c>
      <c r="H26" t="s">
        <v>249</v>
      </c>
      <c r="I26" t="s">
        <v>249</v>
      </c>
      <c r="K26" t="s">
        <v>248</v>
      </c>
      <c r="L26" t="s">
        <v>22</v>
      </c>
    </row>
    <row r="27" spans="2:12" x14ac:dyDescent="0.25">
      <c r="B27" t="s">
        <v>140</v>
      </c>
      <c r="C27" t="s">
        <v>62</v>
      </c>
      <c r="H27" t="s">
        <v>256</v>
      </c>
      <c r="I27" t="s">
        <v>256</v>
      </c>
      <c r="K27" t="s">
        <v>255</v>
      </c>
      <c r="L27" t="s">
        <v>35</v>
      </c>
    </row>
    <row r="28" spans="2:12" x14ac:dyDescent="0.25">
      <c r="B28" t="s">
        <v>39</v>
      </c>
      <c r="C28" t="s">
        <v>28</v>
      </c>
      <c r="H28" t="s">
        <v>264</v>
      </c>
      <c r="I28" t="s">
        <v>265</v>
      </c>
      <c r="K28" t="s">
        <v>263</v>
      </c>
      <c r="L28" t="s">
        <v>58</v>
      </c>
    </row>
    <row r="29" spans="2:12" x14ac:dyDescent="0.25">
      <c r="B29" t="s">
        <v>52</v>
      </c>
      <c r="C29" t="s">
        <v>52</v>
      </c>
      <c r="H29" t="s">
        <v>273</v>
      </c>
      <c r="I29" t="s">
        <v>273</v>
      </c>
      <c r="K29" t="s">
        <v>272</v>
      </c>
      <c r="L29" t="s">
        <v>89</v>
      </c>
    </row>
    <row r="30" spans="2:12" x14ac:dyDescent="0.25">
      <c r="B30" t="s">
        <v>27</v>
      </c>
      <c r="C30" t="s">
        <v>28</v>
      </c>
      <c r="H30" t="s">
        <v>280</v>
      </c>
      <c r="I30" t="s">
        <v>280</v>
      </c>
      <c r="K30" t="s">
        <v>279</v>
      </c>
      <c r="L30" t="s">
        <v>35</v>
      </c>
    </row>
    <row r="31" spans="2:12" x14ac:dyDescent="0.25">
      <c r="B31" t="s">
        <v>289</v>
      </c>
      <c r="C31" t="s">
        <v>290</v>
      </c>
      <c r="H31" t="s">
        <v>287</v>
      </c>
      <c r="I31" t="s">
        <v>99</v>
      </c>
      <c r="K31" t="s">
        <v>286</v>
      </c>
      <c r="L31" t="s">
        <v>155</v>
      </c>
    </row>
    <row r="32" spans="2:12" x14ac:dyDescent="0.25">
      <c r="B32" t="s">
        <v>27</v>
      </c>
      <c r="C32" t="s">
        <v>28</v>
      </c>
      <c r="H32" t="s">
        <v>294</v>
      </c>
      <c r="I32" t="s">
        <v>295</v>
      </c>
      <c r="K32" t="s">
        <v>22</v>
      </c>
      <c r="L32" t="s">
        <v>22</v>
      </c>
    </row>
    <row r="33" spans="2:12" x14ac:dyDescent="0.25">
      <c r="B33" t="s">
        <v>62</v>
      </c>
      <c r="C33" t="s">
        <v>62</v>
      </c>
      <c r="H33" t="s">
        <v>301</v>
      </c>
      <c r="I33" t="s">
        <v>301</v>
      </c>
      <c r="K33" t="s">
        <v>300</v>
      </c>
      <c r="L33" t="s">
        <v>68</v>
      </c>
    </row>
    <row r="34" spans="2:12" x14ac:dyDescent="0.25">
      <c r="B34" t="s">
        <v>39</v>
      </c>
      <c r="C34" t="s">
        <v>28</v>
      </c>
      <c r="H34" t="s">
        <v>306</v>
      </c>
      <c r="I34" t="s">
        <v>307</v>
      </c>
      <c r="K34" t="s">
        <v>46</v>
      </c>
      <c r="L34" t="s">
        <v>46</v>
      </c>
    </row>
    <row r="35" spans="2:12" x14ac:dyDescent="0.25">
      <c r="B35" t="s">
        <v>243</v>
      </c>
      <c r="C35" t="s">
        <v>52</v>
      </c>
      <c r="H35" t="s">
        <v>313</v>
      </c>
      <c r="I35" t="s">
        <v>313</v>
      </c>
      <c r="K35" t="s">
        <v>35</v>
      </c>
      <c r="L35" t="s">
        <v>35</v>
      </c>
    </row>
    <row r="36" spans="2:12" x14ac:dyDescent="0.25">
      <c r="B36" t="s">
        <v>73</v>
      </c>
      <c r="C36" t="s">
        <v>28</v>
      </c>
      <c r="H36" t="s">
        <v>320</v>
      </c>
      <c r="I36" t="s">
        <v>320</v>
      </c>
      <c r="K36" t="s">
        <v>230</v>
      </c>
      <c r="L36" t="s">
        <v>58</v>
      </c>
    </row>
    <row r="37" spans="2:12" x14ac:dyDescent="0.25">
      <c r="B37" t="s">
        <v>81</v>
      </c>
      <c r="C37" t="s">
        <v>82</v>
      </c>
      <c r="H37" t="s">
        <v>326</v>
      </c>
      <c r="I37" t="s">
        <v>327</v>
      </c>
      <c r="K37" t="s">
        <v>107</v>
      </c>
      <c r="L37" t="s">
        <v>108</v>
      </c>
    </row>
    <row r="38" spans="2:12" x14ac:dyDescent="0.25">
      <c r="B38" t="s">
        <v>158</v>
      </c>
      <c r="C38" t="s">
        <v>159</v>
      </c>
      <c r="H38" t="s">
        <v>334</v>
      </c>
      <c r="I38" t="s">
        <v>334</v>
      </c>
      <c r="K38" t="s">
        <v>255</v>
      </c>
      <c r="L38" t="s">
        <v>35</v>
      </c>
    </row>
    <row r="39" spans="2:12" x14ac:dyDescent="0.25">
      <c r="B39" t="s">
        <v>101</v>
      </c>
      <c r="C39" t="s">
        <v>102</v>
      </c>
      <c r="H39" t="s">
        <v>339</v>
      </c>
      <c r="I39" t="s">
        <v>339</v>
      </c>
      <c r="K39" t="s">
        <v>98</v>
      </c>
      <c r="L39" t="s">
        <v>35</v>
      </c>
    </row>
    <row r="40" spans="2:12" x14ac:dyDescent="0.25">
      <c r="B40" t="s">
        <v>113</v>
      </c>
      <c r="C40" t="s">
        <v>114</v>
      </c>
      <c r="H40" t="s">
        <v>343</v>
      </c>
      <c r="I40" t="s">
        <v>344</v>
      </c>
      <c r="K40" t="s">
        <v>240</v>
      </c>
      <c r="L40" t="s">
        <v>46</v>
      </c>
    </row>
    <row r="41" spans="2:12" x14ac:dyDescent="0.25">
      <c r="B41" t="s">
        <v>123</v>
      </c>
      <c r="C41" t="s">
        <v>52</v>
      </c>
      <c r="H41" t="s">
        <v>349</v>
      </c>
      <c r="I41" t="s">
        <v>349</v>
      </c>
      <c r="K41" t="s">
        <v>128</v>
      </c>
      <c r="L41" t="s">
        <v>129</v>
      </c>
    </row>
    <row r="42" spans="2:12" x14ac:dyDescent="0.25">
      <c r="B42" t="s">
        <v>27</v>
      </c>
      <c r="C42" t="s">
        <v>28</v>
      </c>
      <c r="H42" t="s">
        <v>356</v>
      </c>
      <c r="I42" t="s">
        <v>357</v>
      </c>
      <c r="K42" t="s">
        <v>164</v>
      </c>
      <c r="L42" t="s">
        <v>22</v>
      </c>
    </row>
    <row r="43" spans="2:12" x14ac:dyDescent="0.25">
      <c r="B43" t="s">
        <v>140</v>
      </c>
      <c r="C43" t="s">
        <v>62</v>
      </c>
      <c r="H43" t="s">
        <v>362</v>
      </c>
      <c r="I43" t="s">
        <v>362</v>
      </c>
      <c r="K43" t="s">
        <v>136</v>
      </c>
      <c r="L43" t="s">
        <v>35</v>
      </c>
    </row>
    <row r="44" spans="2:12" x14ac:dyDescent="0.25">
      <c r="B44" t="s">
        <v>149</v>
      </c>
      <c r="C44" t="s">
        <v>28</v>
      </c>
      <c r="H44" t="s">
        <v>367</v>
      </c>
      <c r="I44" t="s">
        <v>367</v>
      </c>
      <c r="K44" t="s">
        <v>88</v>
      </c>
      <c r="L44" t="s">
        <v>89</v>
      </c>
    </row>
    <row r="45" spans="2:12" x14ac:dyDescent="0.25">
      <c r="B45" t="s">
        <v>234</v>
      </c>
      <c r="C45" t="s">
        <v>235</v>
      </c>
      <c r="H45" t="s">
        <v>372</v>
      </c>
      <c r="I45" t="s">
        <v>372</v>
      </c>
      <c r="K45" t="s">
        <v>145</v>
      </c>
      <c r="L45" t="s">
        <v>58</v>
      </c>
    </row>
    <row r="46" spans="2:12" x14ac:dyDescent="0.25">
      <c r="B46" t="s">
        <v>27</v>
      </c>
      <c r="C46" t="s">
        <v>28</v>
      </c>
      <c r="H46" t="s">
        <v>166</v>
      </c>
      <c r="I46" t="s">
        <v>166</v>
      </c>
      <c r="K46" t="s">
        <v>154</v>
      </c>
      <c r="L46" t="s">
        <v>155</v>
      </c>
    </row>
    <row r="47" spans="2:12" x14ac:dyDescent="0.25">
      <c r="B47" t="s">
        <v>140</v>
      </c>
      <c r="C47" t="s">
        <v>62</v>
      </c>
      <c r="H47" t="s">
        <v>381</v>
      </c>
      <c r="I47" t="s">
        <v>382</v>
      </c>
      <c r="K47" t="s">
        <v>68</v>
      </c>
      <c r="L47" t="s">
        <v>68</v>
      </c>
    </row>
    <row r="48" spans="2:12" x14ac:dyDescent="0.25">
      <c r="B48" t="s">
        <v>183</v>
      </c>
      <c r="C48" t="s">
        <v>52</v>
      </c>
      <c r="H48" t="s">
        <v>387</v>
      </c>
      <c r="I48" t="s">
        <v>387</v>
      </c>
      <c r="K48" t="s">
        <v>178</v>
      </c>
      <c r="L48" t="s">
        <v>46</v>
      </c>
    </row>
    <row r="49" spans="2:12" x14ac:dyDescent="0.25">
      <c r="B49" t="s">
        <v>27</v>
      </c>
      <c r="C49" t="s">
        <v>28</v>
      </c>
      <c r="H49" t="s">
        <v>392</v>
      </c>
      <c r="I49" t="s">
        <v>392</v>
      </c>
      <c r="K49" t="s">
        <v>188</v>
      </c>
      <c r="L49" t="s">
        <v>35</v>
      </c>
    </row>
    <row r="50" spans="2:12" x14ac:dyDescent="0.25">
      <c r="B50" t="s">
        <v>200</v>
      </c>
      <c r="C50" t="s">
        <v>62</v>
      </c>
      <c r="H50" t="s">
        <v>399</v>
      </c>
      <c r="I50" t="s">
        <v>399</v>
      </c>
      <c r="K50" t="s">
        <v>195</v>
      </c>
      <c r="L50" t="s">
        <v>22</v>
      </c>
    </row>
    <row r="51" spans="2:12" x14ac:dyDescent="0.25">
      <c r="B51" t="s">
        <v>28</v>
      </c>
      <c r="C51" t="s">
        <v>28</v>
      </c>
      <c r="H51" t="s">
        <v>405</v>
      </c>
      <c r="I51" t="s">
        <v>406</v>
      </c>
      <c r="K51" t="s">
        <v>205</v>
      </c>
      <c r="L51" t="s">
        <v>89</v>
      </c>
    </row>
    <row r="52" spans="2:12" x14ac:dyDescent="0.25">
      <c r="B52" t="s">
        <v>218</v>
      </c>
      <c r="C52" t="s">
        <v>82</v>
      </c>
      <c r="H52" t="s">
        <v>412</v>
      </c>
      <c r="I52" t="s">
        <v>412</v>
      </c>
      <c r="K52" t="s">
        <v>214</v>
      </c>
      <c r="L52" t="s">
        <v>68</v>
      </c>
    </row>
    <row r="53" spans="2:12" x14ac:dyDescent="0.25">
      <c r="B53" t="s">
        <v>27</v>
      </c>
      <c r="C53" t="s">
        <v>28</v>
      </c>
      <c r="H53" t="s">
        <v>417</v>
      </c>
      <c r="I53" t="s">
        <v>417</v>
      </c>
      <c r="K53" t="s">
        <v>34</v>
      </c>
      <c r="L53" t="s">
        <v>35</v>
      </c>
    </row>
    <row r="54" spans="2:12" x14ac:dyDescent="0.25">
      <c r="B54" t="s">
        <v>423</v>
      </c>
      <c r="C54" t="s">
        <v>424</v>
      </c>
      <c r="H54" t="s">
        <v>421</v>
      </c>
      <c r="I54" t="s">
        <v>421</v>
      </c>
      <c r="K54" t="s">
        <v>57</v>
      </c>
      <c r="L54" t="s">
        <v>58</v>
      </c>
    </row>
    <row r="55" spans="2:12" x14ac:dyDescent="0.25">
      <c r="B55" t="s">
        <v>243</v>
      </c>
      <c r="C55" t="s">
        <v>52</v>
      </c>
      <c r="H55" t="s">
        <v>427</v>
      </c>
      <c r="I55" t="s">
        <v>427</v>
      </c>
      <c r="K55" t="s">
        <v>45</v>
      </c>
      <c r="L55" t="s">
        <v>46</v>
      </c>
    </row>
    <row r="56" spans="2:12" x14ac:dyDescent="0.25">
      <c r="B56" t="s">
        <v>73</v>
      </c>
      <c r="C56" t="s">
        <v>28</v>
      </c>
      <c r="H56" t="s">
        <v>433</v>
      </c>
      <c r="I56" t="s">
        <v>433</v>
      </c>
      <c r="K56" t="s">
        <v>248</v>
      </c>
      <c r="L56" t="s">
        <v>22</v>
      </c>
    </row>
    <row r="57" spans="2:12" x14ac:dyDescent="0.25">
      <c r="B57" t="s">
        <v>140</v>
      </c>
      <c r="C57" t="s">
        <v>62</v>
      </c>
      <c r="H57" t="s">
        <v>438</v>
      </c>
      <c r="I57" t="s">
        <v>438</v>
      </c>
      <c r="K57" t="s">
        <v>255</v>
      </c>
      <c r="L57" t="s">
        <v>35</v>
      </c>
    </row>
    <row r="58" spans="2:12" x14ac:dyDescent="0.25">
      <c r="B58" t="s">
        <v>39</v>
      </c>
      <c r="C58" t="s">
        <v>28</v>
      </c>
      <c r="H58" t="s">
        <v>443</v>
      </c>
      <c r="I58" t="s">
        <v>443</v>
      </c>
      <c r="K58" t="s">
        <v>263</v>
      </c>
      <c r="L58" t="s">
        <v>58</v>
      </c>
    </row>
    <row r="59" spans="2:12" x14ac:dyDescent="0.25">
      <c r="B59" t="s">
        <v>52</v>
      </c>
      <c r="C59" t="s">
        <v>52</v>
      </c>
      <c r="H59" t="s">
        <v>448</v>
      </c>
      <c r="I59" t="s">
        <v>448</v>
      </c>
      <c r="K59" t="s">
        <v>272</v>
      </c>
      <c r="L59" t="s">
        <v>89</v>
      </c>
    </row>
    <row r="60" spans="2:12" x14ac:dyDescent="0.25">
      <c r="B60" t="s">
        <v>27</v>
      </c>
      <c r="C60" t="s">
        <v>28</v>
      </c>
      <c r="H60" t="s">
        <v>453</v>
      </c>
      <c r="I60" t="s">
        <v>453</v>
      </c>
      <c r="K60" t="s">
        <v>279</v>
      </c>
      <c r="L60" t="s">
        <v>35</v>
      </c>
    </row>
    <row r="61" spans="2:12" x14ac:dyDescent="0.25">
      <c r="B61" t="s">
        <v>289</v>
      </c>
      <c r="C61" t="s">
        <v>290</v>
      </c>
      <c r="H61" t="s">
        <v>457</v>
      </c>
      <c r="I61" t="s">
        <v>457</v>
      </c>
      <c r="K61" t="s">
        <v>286</v>
      </c>
      <c r="L61" t="s">
        <v>155</v>
      </c>
    </row>
    <row r="62" spans="2:12" x14ac:dyDescent="0.25">
      <c r="B62" t="s">
        <v>27</v>
      </c>
      <c r="C62" t="s">
        <v>28</v>
      </c>
      <c r="H62" t="s">
        <v>463</v>
      </c>
      <c r="I62" t="s">
        <v>463</v>
      </c>
      <c r="K62" t="s">
        <v>21</v>
      </c>
      <c r="L62" t="s">
        <v>22</v>
      </c>
    </row>
    <row r="63" spans="2:12" x14ac:dyDescent="0.25">
      <c r="B63" t="s">
        <v>81</v>
      </c>
      <c r="C63" t="s">
        <v>82</v>
      </c>
      <c r="H63" t="s">
        <v>467</v>
      </c>
      <c r="I63" t="s">
        <v>467</v>
      </c>
      <c r="K63" t="s">
        <v>67</v>
      </c>
      <c r="L63" t="s">
        <v>68</v>
      </c>
    </row>
    <row r="64" spans="2:12" x14ac:dyDescent="0.25">
      <c r="B64" t="s">
        <v>158</v>
      </c>
      <c r="C64" t="s">
        <v>159</v>
      </c>
      <c r="H64" t="s">
        <v>473</v>
      </c>
      <c r="I64" t="s">
        <v>473</v>
      </c>
      <c r="K64" t="s">
        <v>46</v>
      </c>
      <c r="L64" t="s">
        <v>46</v>
      </c>
    </row>
    <row r="65" spans="2:12" x14ac:dyDescent="0.25">
      <c r="B65" t="s">
        <v>62</v>
      </c>
      <c r="C65" t="s">
        <v>62</v>
      </c>
      <c r="H65" t="s">
        <v>478</v>
      </c>
      <c r="I65" t="s">
        <v>478</v>
      </c>
      <c r="K65" t="s">
        <v>34</v>
      </c>
      <c r="L65" t="s">
        <v>35</v>
      </c>
    </row>
    <row r="66" spans="2:12" x14ac:dyDescent="0.25">
      <c r="B66" t="s">
        <v>73</v>
      </c>
      <c r="C66" t="s">
        <v>28</v>
      </c>
      <c r="H66" t="s">
        <v>482</v>
      </c>
      <c r="I66" t="s">
        <v>482</v>
      </c>
      <c r="K66" t="s">
        <v>107</v>
      </c>
      <c r="L66" t="s">
        <v>108</v>
      </c>
    </row>
    <row r="67" spans="2:12" x14ac:dyDescent="0.25">
      <c r="B67" t="s">
        <v>94</v>
      </c>
      <c r="C67" t="s">
        <v>28</v>
      </c>
      <c r="H67" t="s">
        <v>486</v>
      </c>
      <c r="I67" t="s">
        <v>487</v>
      </c>
      <c r="K67" t="s">
        <v>164</v>
      </c>
      <c r="L67" t="s">
        <v>22</v>
      </c>
    </row>
    <row r="68" spans="2:12" x14ac:dyDescent="0.25">
      <c r="B68" t="s">
        <v>113</v>
      </c>
      <c r="C68" t="s">
        <v>114</v>
      </c>
      <c r="H68" t="s">
        <v>493</v>
      </c>
      <c r="I68" t="s">
        <v>493</v>
      </c>
      <c r="K68" t="s">
        <v>88</v>
      </c>
      <c r="L68" t="s">
        <v>89</v>
      </c>
    </row>
    <row r="69" spans="2:12" x14ac:dyDescent="0.25">
      <c r="B69" t="s">
        <v>51</v>
      </c>
      <c r="C69" t="s">
        <v>52</v>
      </c>
      <c r="H69" t="s">
        <v>498</v>
      </c>
      <c r="I69" t="s">
        <v>498</v>
      </c>
      <c r="K69" t="s">
        <v>188</v>
      </c>
      <c r="L69" t="s">
        <v>35</v>
      </c>
    </row>
    <row r="70" spans="2:12" x14ac:dyDescent="0.25">
      <c r="B70" t="s">
        <v>27</v>
      </c>
      <c r="C70" t="s">
        <v>28</v>
      </c>
      <c r="H70" t="s">
        <v>502</v>
      </c>
      <c r="I70" t="s">
        <v>502</v>
      </c>
      <c r="K70" t="s">
        <v>128</v>
      </c>
      <c r="L70" t="s">
        <v>129</v>
      </c>
    </row>
    <row r="71" spans="2:12" x14ac:dyDescent="0.25">
      <c r="B71" t="s">
        <v>101</v>
      </c>
      <c r="C71" t="s">
        <v>102</v>
      </c>
      <c r="H71" t="s">
        <v>507</v>
      </c>
      <c r="I71" t="s">
        <v>507</v>
      </c>
      <c r="K71" t="s">
        <v>98</v>
      </c>
      <c r="L71" t="s">
        <v>35</v>
      </c>
    </row>
    <row r="72" spans="2:12" x14ac:dyDescent="0.25">
      <c r="B72" t="s">
        <v>149</v>
      </c>
      <c r="C72" t="s">
        <v>28</v>
      </c>
      <c r="H72" t="s">
        <v>511</v>
      </c>
      <c r="I72" t="s">
        <v>511</v>
      </c>
      <c r="K72" t="s">
        <v>230</v>
      </c>
      <c r="L72" t="s">
        <v>58</v>
      </c>
    </row>
    <row r="73" spans="2:12" x14ac:dyDescent="0.25">
      <c r="B73" t="s">
        <v>234</v>
      </c>
      <c r="C73" t="s">
        <v>235</v>
      </c>
      <c r="H73" t="s">
        <v>516</v>
      </c>
      <c r="I73" t="s">
        <v>516</v>
      </c>
      <c r="K73" t="s">
        <v>515</v>
      </c>
      <c r="L73" t="s">
        <v>155</v>
      </c>
    </row>
    <row r="74" spans="2:12" x14ac:dyDescent="0.25">
      <c r="B74" t="s">
        <v>218</v>
      </c>
      <c r="C74" t="s">
        <v>82</v>
      </c>
      <c r="H74" t="s">
        <v>522</v>
      </c>
      <c r="I74" t="s">
        <v>522</v>
      </c>
      <c r="K74" t="s">
        <v>195</v>
      </c>
      <c r="L74" t="s">
        <v>22</v>
      </c>
    </row>
    <row r="75" spans="2:12" x14ac:dyDescent="0.25">
      <c r="B75" t="s">
        <v>27</v>
      </c>
      <c r="C75" t="s">
        <v>28</v>
      </c>
      <c r="H75" t="s">
        <v>526</v>
      </c>
      <c r="I75" t="s">
        <v>526</v>
      </c>
      <c r="K75" t="s">
        <v>255</v>
      </c>
      <c r="L75" t="s">
        <v>35</v>
      </c>
    </row>
    <row r="76" spans="2:12" x14ac:dyDescent="0.25">
      <c r="B76" t="s">
        <v>140</v>
      </c>
      <c r="C76" t="s">
        <v>62</v>
      </c>
      <c r="H76" t="s">
        <v>530</v>
      </c>
      <c r="I76" t="s">
        <v>530</v>
      </c>
      <c r="K76" t="s">
        <v>178</v>
      </c>
      <c r="L76" t="s">
        <v>46</v>
      </c>
    </row>
    <row r="77" spans="2:12" x14ac:dyDescent="0.25">
      <c r="B77" t="s">
        <v>183</v>
      </c>
      <c r="C77" t="s">
        <v>52</v>
      </c>
      <c r="H77" t="s">
        <v>533</v>
      </c>
      <c r="I77" t="s">
        <v>533</v>
      </c>
      <c r="K77" t="s">
        <v>68</v>
      </c>
      <c r="L77" t="s">
        <v>68</v>
      </c>
    </row>
    <row r="78" spans="2:12" x14ac:dyDescent="0.25">
      <c r="B78" t="s">
        <v>39</v>
      </c>
      <c r="C78" t="s">
        <v>28</v>
      </c>
      <c r="H78" t="s">
        <v>537</v>
      </c>
      <c r="I78" t="s">
        <v>537</v>
      </c>
      <c r="K78" t="s">
        <v>263</v>
      </c>
      <c r="L78" t="s">
        <v>58</v>
      </c>
    </row>
    <row r="79" spans="2:12" x14ac:dyDescent="0.25">
      <c r="B79" t="s">
        <v>200</v>
      </c>
      <c r="C79" t="s">
        <v>62</v>
      </c>
      <c r="H79" t="s">
        <v>540</v>
      </c>
      <c r="I79" t="s">
        <v>540</v>
      </c>
      <c r="K79" t="s">
        <v>205</v>
      </c>
      <c r="L79" t="s">
        <v>89</v>
      </c>
    </row>
    <row r="80" spans="2:12" x14ac:dyDescent="0.25">
      <c r="B80" t="s">
        <v>27</v>
      </c>
      <c r="C80" t="s">
        <v>28</v>
      </c>
      <c r="H80" t="s">
        <v>543</v>
      </c>
      <c r="I80" t="s">
        <v>543</v>
      </c>
      <c r="K80" t="s">
        <v>279</v>
      </c>
      <c r="L80" t="s">
        <v>35</v>
      </c>
    </row>
    <row r="81" spans="2:12" x14ac:dyDescent="0.25">
      <c r="B81" t="s">
        <v>158</v>
      </c>
      <c r="C81" t="s">
        <v>159</v>
      </c>
      <c r="H81" t="s">
        <v>547</v>
      </c>
      <c r="I81" t="s">
        <v>547</v>
      </c>
      <c r="K81" t="s">
        <v>34</v>
      </c>
      <c r="L81" t="s">
        <v>35</v>
      </c>
    </row>
    <row r="82" spans="2:12" x14ac:dyDescent="0.25">
      <c r="B82" t="s">
        <v>27</v>
      </c>
      <c r="C82" t="s">
        <v>28</v>
      </c>
      <c r="H82" t="s">
        <v>552</v>
      </c>
      <c r="I82" t="s">
        <v>173</v>
      </c>
      <c r="K82" t="s">
        <v>22</v>
      </c>
      <c r="L82" t="s">
        <v>22</v>
      </c>
    </row>
    <row r="83" spans="2:12" x14ac:dyDescent="0.25">
      <c r="B83" t="s">
        <v>62</v>
      </c>
      <c r="C83" t="s">
        <v>62</v>
      </c>
      <c r="H83" t="s">
        <v>147</v>
      </c>
      <c r="I83" t="s">
        <v>147</v>
      </c>
      <c r="K83" t="s">
        <v>300</v>
      </c>
      <c r="L83" t="s">
        <v>68</v>
      </c>
    </row>
    <row r="84" spans="2:12" x14ac:dyDescent="0.25">
      <c r="B84" t="s">
        <v>39</v>
      </c>
      <c r="C84" t="s">
        <v>28</v>
      </c>
      <c r="H84" t="s">
        <v>294</v>
      </c>
      <c r="I84" t="s">
        <v>295</v>
      </c>
      <c r="K84" t="s">
        <v>46</v>
      </c>
      <c r="L84" t="s">
        <v>46</v>
      </c>
    </row>
    <row r="85" spans="2:12" x14ac:dyDescent="0.25">
      <c r="B85" t="s">
        <v>243</v>
      </c>
      <c r="C85" t="s">
        <v>52</v>
      </c>
      <c r="H85" t="s">
        <v>59</v>
      </c>
      <c r="I85" t="s">
        <v>59</v>
      </c>
      <c r="K85" t="s">
        <v>35</v>
      </c>
      <c r="L85" t="s">
        <v>35</v>
      </c>
    </row>
    <row r="86" spans="2:12" x14ac:dyDescent="0.25">
      <c r="B86" t="s">
        <v>73</v>
      </c>
      <c r="C86" t="s">
        <v>28</v>
      </c>
      <c r="H86" t="s">
        <v>48</v>
      </c>
      <c r="I86" t="s">
        <v>48</v>
      </c>
      <c r="K86" t="s">
        <v>230</v>
      </c>
      <c r="L86" t="s">
        <v>58</v>
      </c>
    </row>
    <row r="87" spans="2:12" x14ac:dyDescent="0.25">
      <c r="B87" t="s">
        <v>81</v>
      </c>
      <c r="C87" t="s">
        <v>82</v>
      </c>
      <c r="H87" t="s">
        <v>570</v>
      </c>
      <c r="I87" t="s">
        <v>36</v>
      </c>
      <c r="K87" t="s">
        <v>107</v>
      </c>
      <c r="L87" t="s">
        <v>108</v>
      </c>
    </row>
    <row r="88" spans="2:12" x14ac:dyDescent="0.25">
      <c r="B88" t="s">
        <v>158</v>
      </c>
      <c r="C88" t="s">
        <v>159</v>
      </c>
      <c r="H88" t="s">
        <v>24</v>
      </c>
      <c r="I88" t="s">
        <v>24</v>
      </c>
      <c r="K88" t="s">
        <v>255</v>
      </c>
      <c r="L88" t="s">
        <v>35</v>
      </c>
    </row>
    <row r="89" spans="2:12" x14ac:dyDescent="0.25">
      <c r="B89" t="s">
        <v>101</v>
      </c>
      <c r="C89" t="s">
        <v>102</v>
      </c>
      <c r="H89" t="s">
        <v>120</v>
      </c>
      <c r="I89" t="s">
        <v>120</v>
      </c>
      <c r="K89" t="s">
        <v>98</v>
      </c>
      <c r="L89" t="s">
        <v>35</v>
      </c>
    </row>
    <row r="90" spans="2:12" x14ac:dyDescent="0.25">
      <c r="B90" t="s">
        <v>113</v>
      </c>
      <c r="C90" t="s">
        <v>114</v>
      </c>
      <c r="H90" t="s">
        <v>109</v>
      </c>
      <c r="I90" t="s">
        <v>110</v>
      </c>
      <c r="K90" t="s">
        <v>240</v>
      </c>
      <c r="L90" t="s">
        <v>46</v>
      </c>
    </row>
    <row r="91" spans="2:12" x14ac:dyDescent="0.25">
      <c r="B91" t="s">
        <v>123</v>
      </c>
      <c r="C91" t="s">
        <v>52</v>
      </c>
      <c r="H91" t="s">
        <v>131</v>
      </c>
      <c r="I91" t="s">
        <v>131</v>
      </c>
      <c r="K91" t="s">
        <v>128</v>
      </c>
      <c r="L91" t="s">
        <v>129</v>
      </c>
    </row>
    <row r="92" spans="2:12" x14ac:dyDescent="0.25">
      <c r="B92" t="s">
        <v>27</v>
      </c>
      <c r="C92" t="s">
        <v>28</v>
      </c>
      <c r="H92" t="s">
        <v>584</v>
      </c>
      <c r="I92" t="s">
        <v>585</v>
      </c>
      <c r="K92" t="s">
        <v>164</v>
      </c>
      <c r="L92" t="s">
        <v>22</v>
      </c>
    </row>
    <row r="93" spans="2:12" x14ac:dyDescent="0.25">
      <c r="B93" t="s">
        <v>140</v>
      </c>
      <c r="C93" t="s">
        <v>62</v>
      </c>
      <c r="H93" t="s">
        <v>137</v>
      </c>
      <c r="I93" t="s">
        <v>137</v>
      </c>
      <c r="K93" t="s">
        <v>136</v>
      </c>
      <c r="L93" t="s">
        <v>35</v>
      </c>
    </row>
    <row r="94" spans="2:12" x14ac:dyDescent="0.25">
      <c r="B94" t="s">
        <v>149</v>
      </c>
      <c r="C94" t="s">
        <v>28</v>
      </c>
      <c r="H94" t="s">
        <v>189</v>
      </c>
      <c r="I94" t="s">
        <v>189</v>
      </c>
      <c r="K94" t="s">
        <v>88</v>
      </c>
      <c r="L94" t="s">
        <v>89</v>
      </c>
    </row>
    <row r="95" spans="2:12" x14ac:dyDescent="0.25">
      <c r="B95" t="s">
        <v>234</v>
      </c>
      <c r="C95" t="s">
        <v>235</v>
      </c>
      <c r="H95" t="s">
        <v>372</v>
      </c>
      <c r="I95" t="s">
        <v>372</v>
      </c>
      <c r="K95" t="s">
        <v>145</v>
      </c>
      <c r="L95" t="s">
        <v>58</v>
      </c>
    </row>
    <row r="96" spans="2:12" x14ac:dyDescent="0.25">
      <c r="B96" t="s">
        <v>27</v>
      </c>
      <c r="C96" t="s">
        <v>28</v>
      </c>
      <c r="H96" t="s">
        <v>166</v>
      </c>
      <c r="I96" t="s">
        <v>166</v>
      </c>
      <c r="K96" t="s">
        <v>154</v>
      </c>
      <c r="L96" t="s">
        <v>155</v>
      </c>
    </row>
    <row r="97" spans="2:12" x14ac:dyDescent="0.25">
      <c r="B97" t="s">
        <v>140</v>
      </c>
      <c r="C97" t="s">
        <v>62</v>
      </c>
      <c r="H97" t="s">
        <v>381</v>
      </c>
      <c r="I97" t="s">
        <v>382</v>
      </c>
      <c r="K97" t="s">
        <v>68</v>
      </c>
      <c r="L97" t="s">
        <v>68</v>
      </c>
    </row>
    <row r="98" spans="2:12" x14ac:dyDescent="0.25">
      <c r="B98" t="s">
        <v>183</v>
      </c>
      <c r="C98" t="s">
        <v>52</v>
      </c>
      <c r="H98" t="s">
        <v>387</v>
      </c>
      <c r="I98" t="s">
        <v>387</v>
      </c>
      <c r="K98" t="s">
        <v>178</v>
      </c>
      <c r="L98" t="s">
        <v>46</v>
      </c>
    </row>
    <row r="99" spans="2:12" x14ac:dyDescent="0.25">
      <c r="B99" t="s">
        <v>27</v>
      </c>
      <c r="C99" t="s">
        <v>28</v>
      </c>
      <c r="H99" t="s">
        <v>392</v>
      </c>
      <c r="I99" t="s">
        <v>392</v>
      </c>
      <c r="K99" t="s">
        <v>188</v>
      </c>
      <c r="L99" t="s">
        <v>35</v>
      </c>
    </row>
    <row r="100" spans="2:12" x14ac:dyDescent="0.25">
      <c r="B100" t="s">
        <v>200</v>
      </c>
      <c r="C100" t="s">
        <v>62</v>
      </c>
      <c r="H100" t="s">
        <v>399</v>
      </c>
      <c r="I100" t="s">
        <v>399</v>
      </c>
      <c r="K100" t="s">
        <v>195</v>
      </c>
      <c r="L100" t="s">
        <v>22</v>
      </c>
    </row>
    <row r="101" spans="2:12" x14ac:dyDescent="0.25">
      <c r="B101" t="s">
        <v>28</v>
      </c>
      <c r="C101" t="s">
        <v>28</v>
      </c>
      <c r="H101" t="s">
        <v>405</v>
      </c>
      <c r="I101" t="s">
        <v>406</v>
      </c>
      <c r="K101" t="s">
        <v>205</v>
      </c>
      <c r="L101" t="s">
        <v>89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Normalize.db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Simiao, Alexandre G</cp:lastModifiedBy>
  <dcterms:created xsi:type="dcterms:W3CDTF">2026-05-08T13:41:58Z</dcterms:created>
  <dcterms:modified xsi:type="dcterms:W3CDTF">2026-07-03T03:46:06Z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